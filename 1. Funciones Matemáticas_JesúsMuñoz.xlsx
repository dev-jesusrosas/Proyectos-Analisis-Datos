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8BA068-82FC-40B8-A617-DD33DDF91895}" xr6:coauthVersionLast="47" xr6:coauthVersionMax="47" xr10:uidLastSave="{00000000-0000-0000-0000-000000000000}"/>
  <bookViews>
    <workbookView xWindow="2250" yWindow="2250" windowWidth="14145" windowHeight="11295" firstSheet="2" activeTab="5" xr2:uid="{00000000-000D-0000-FFFF-FFFF00000000}"/>
  </bookViews>
  <sheets>
    <sheet name="F.Abs" sheetId="10" r:id="rId1"/>
    <sheet name="F.Aleatorio" sheetId="11" r:id="rId2"/>
    <sheet name="F.Entero" sheetId="12" r:id="rId3"/>
    <sheet name="F.Potencia" sheetId="13" r:id="rId4"/>
    <sheet name="F.Raíz" sheetId="5" r:id="rId5"/>
    <sheet name="F.Redondear" sheetId="6" r:id="rId6"/>
    <sheet name="F.Sumar.Si" sheetId="7" r:id="rId7"/>
    <sheet name="F.Sumar.Si.Conjunto" sheetId="8" r:id="rId8"/>
    <sheet name="F.SumaProduct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3" roundtripDataSignature="AMtx7mie8Juvsl+e6wjABvgmdHjdVzHSSQ=="/>
    </ext>
  </extLst>
</workbook>
</file>

<file path=xl/calcChain.xml><?xml version="1.0" encoding="utf-8"?>
<calcChain xmlns="http://schemas.openxmlformats.org/spreadsheetml/2006/main">
  <c r="F20" i="13" l="1"/>
  <c r="K20" i="13"/>
  <c r="F21" i="13"/>
  <c r="K21" i="13"/>
  <c r="F22" i="13"/>
  <c r="K22" i="13"/>
  <c r="F23" i="13"/>
  <c r="K23" i="13"/>
  <c r="E21" i="12"/>
  <c r="J21" i="12"/>
  <c r="E22" i="12"/>
  <c r="J22" i="12"/>
  <c r="E23" i="12"/>
  <c r="J23" i="12"/>
  <c r="E24" i="12"/>
  <c r="J24" i="12"/>
  <c r="E25" i="12"/>
  <c r="J25" i="12"/>
  <c r="D21" i="11"/>
  <c r="I21" i="11"/>
  <c r="D36" i="11"/>
  <c r="I36" i="11"/>
  <c r="E20" i="10"/>
  <c r="J20" i="10"/>
  <c r="E21" i="10"/>
  <c r="J21" i="10"/>
  <c r="E22" i="10"/>
  <c r="J22" i="10"/>
  <c r="E23" i="10"/>
  <c r="J23" i="10"/>
  <c r="E24" i="10"/>
  <c r="J24" i="10"/>
  <c r="E25" i="10"/>
  <c r="J25" i="10"/>
  <c r="E26" i="10"/>
  <c r="J26" i="10"/>
  <c r="I22" i="9" l="1"/>
  <c r="J23" i="5"/>
  <c r="J21" i="5"/>
  <c r="J22" i="5"/>
  <c r="J20" i="5"/>
  <c r="E21" i="5"/>
  <c r="E22" i="5"/>
  <c r="E23" i="5"/>
  <c r="E20" i="5"/>
  <c r="J49" i="6"/>
  <c r="J50" i="6"/>
  <c r="J51" i="6"/>
  <c r="J48" i="6"/>
  <c r="E49" i="6"/>
  <c r="E50" i="6"/>
  <c r="E51" i="6"/>
  <c r="E48" i="6"/>
  <c r="J35" i="6"/>
  <c r="J36" i="6"/>
  <c r="J37" i="6"/>
  <c r="J34" i="6"/>
  <c r="E35" i="6"/>
  <c r="E36" i="6"/>
  <c r="E37" i="6"/>
  <c r="E34" i="6"/>
  <c r="J21" i="6"/>
  <c r="J22" i="6"/>
  <c r="J23" i="6"/>
  <c r="J20" i="6"/>
  <c r="E21" i="6"/>
  <c r="E22" i="6"/>
  <c r="E23" i="6"/>
  <c r="R36" i="8" l="1"/>
  <c r="R31" i="8"/>
  <c r="R26" i="8"/>
  <c r="R22" i="8"/>
  <c r="K43" i="7"/>
  <c r="K42" i="7"/>
  <c r="K40" i="7"/>
  <c r="K41" i="7"/>
  <c r="K38" i="7"/>
  <c r="K37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39" i="7" s="1"/>
  <c r="E20" i="6"/>
  <c r="K36" i="7" l="1"/>
</calcChain>
</file>

<file path=xl/sharedStrings.xml><?xml version="1.0" encoding="utf-8"?>
<sst xmlns="http://schemas.openxmlformats.org/spreadsheetml/2006/main" count="367" uniqueCount="161">
  <si>
    <t>TEMA: FUNCIONES MATEMÁTICAS</t>
  </si>
  <si>
    <t>Función ABS</t>
  </si>
  <si>
    <t>Concepto: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</si>
  <si>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ABS</t>
    </r>
    <r>
      <rPr>
        <sz val="12"/>
        <color rgb="FF4F4F4F"/>
        <rFont val="Inter"/>
      </rPr>
      <t xml:space="preserve"> o comúnmente conocida como  </t>
    </r>
    <r>
      <rPr>
        <b/>
        <sz val="12"/>
        <color rgb="FFFF6060"/>
        <rFont val="Inter"/>
      </rPr>
      <t>función absoluta</t>
    </r>
    <r>
      <rPr>
        <sz val="12"/>
        <color rgb="FF4F4F4F"/>
        <rFont val="Inter"/>
      </rPr>
      <t xml:space="preserve"> devuelve el valor absoluto de un número que se encuentre dentro de una celda o el valor que nosotros proporcionemos.</t>
    </r>
  </si>
  <si>
    <t>Sintaxis:</t>
  </si>
  <si>
    <t>Ejemplo1:</t>
  </si>
  <si>
    <t>Ejemplo2:</t>
  </si>
  <si>
    <t>NÚMERO</t>
  </si>
  <si>
    <t>VALOR ABSOLUTO</t>
  </si>
  <si>
    <t>Función ALEATORIO</t>
  </si>
  <si>
    <r>
      <rPr>
        <sz val="12"/>
        <color rgb="FF4F4F4F"/>
        <rFont val="Inter"/>
      </rPr>
      <t>La</t>
    </r>
    <r>
      <rPr>
        <sz val="12"/>
        <color theme="1"/>
        <rFont val="Inter"/>
      </rPr>
      <t xml:space="preserve"> </t>
    </r>
    <r>
      <rPr>
        <b/>
        <sz val="12"/>
        <color rgb="FFFF6060"/>
        <rFont val="Inter"/>
      </rPr>
      <t>función Aleatorio</t>
    </r>
    <r>
      <rPr>
        <sz val="12"/>
        <color rgb="FF4F4F4F"/>
        <rFont val="Inter"/>
      </rPr>
      <t xml:space="preserve"> te permite obtener un número aleatorio mayor o igual que 0 y menor que 1. </t>
    </r>
  </si>
  <si>
    <t>Los valores obtenidos varían al realizar cualquier acción dentro de la hoja de cálculo.</t>
  </si>
  <si>
    <t>Esta función no tiene argumentos.</t>
  </si>
  <si>
    <t>Función ALEATORIO.ENTRE</t>
  </si>
  <si>
    <r>
      <rPr>
        <sz val="12"/>
        <color rgb="FF4F4F4F"/>
        <rFont val="Inter"/>
      </rPr>
      <t xml:space="preserve">La función </t>
    </r>
    <r>
      <rPr>
        <b/>
        <sz val="12"/>
        <color rgb="FFFF6060"/>
        <rFont val="Inter"/>
      </rPr>
      <t>ALEATORIO.ENTRE</t>
    </r>
    <r>
      <rPr>
        <sz val="12"/>
        <color rgb="FF4F4F4F"/>
        <rFont val="Inter"/>
      </rPr>
      <t xml:space="preserve"> te permite obtener un número aleatorio entre los números que especifique. </t>
    </r>
  </si>
  <si>
    <t>Esta funcion sí tiene argumentos.</t>
  </si>
  <si>
    <t>Función ENTERO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</si>
  <si>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Entero</t>
    </r>
    <r>
      <rPr>
        <sz val="12"/>
        <color rgb="FF4F4F4F"/>
        <rFont val="Inter"/>
      </rPr>
      <t xml:space="preserve"> te permite redondear un número hacia abajo hasta el entero más próximo.</t>
    </r>
  </si>
  <si>
    <t>Esta función tiene argumentos.</t>
  </si>
  <si>
    <t>ENTERO</t>
  </si>
  <si>
    <t>Función POTENCIA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</si>
  <si>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Potencia</t>
    </r>
    <r>
      <rPr>
        <sz val="12"/>
        <color rgb="FF4F4F4F"/>
        <rFont val="Inter"/>
      </rPr>
      <t xml:space="preserve"> te devuelve el resultado de elevar un número a una potencia.</t>
    </r>
  </si>
  <si>
    <t>POTENCIA</t>
  </si>
  <si>
    <t>RESULTADO</t>
  </si>
  <si>
    <t>Función RAÍZ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</si>
  <si>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Raíz</t>
    </r>
    <r>
      <rPr>
        <sz val="12"/>
        <color rgb="FF4F4F4F"/>
        <rFont val="Inter"/>
      </rPr>
      <t xml:space="preserve"> te permite obtener la raíz cuadrada de un número.</t>
    </r>
  </si>
  <si>
    <t>RAÍZ</t>
  </si>
  <si>
    <t>Función REDONDEAR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</si>
  <si>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Redondear</t>
    </r>
    <r>
      <rPr>
        <sz val="12"/>
        <color rgb="FF4F4F4F"/>
        <rFont val="Inter"/>
      </rPr>
      <t xml:space="preserve"> te permite redondear un número al número de decimales que se especifiquen.</t>
    </r>
  </si>
  <si>
    <t>REDONDEAR 3 DÍGITOS</t>
  </si>
  <si>
    <t>REDONDEAR 2 DÍGITOS</t>
  </si>
  <si>
    <t>Función REDONDEA.PAR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</si>
  <si>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Redondea.Par</t>
    </r>
    <r>
      <rPr>
        <b/>
        <sz val="12"/>
        <color rgb="FF4F4F4F"/>
        <rFont val="Inter"/>
      </rPr>
      <t xml:space="preserve"> </t>
    </r>
    <r>
      <rPr>
        <sz val="12"/>
        <color rgb="FF4F4F4F"/>
        <rFont val="Inter"/>
      </rPr>
      <t>te permite redondear un número hasta el entero par más próximo.</t>
    </r>
  </si>
  <si>
    <t>REDONDEA PAR</t>
  </si>
  <si>
    <t>Función REDONDEA.IMPAR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</si>
  <si>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Redondear.Impar</t>
    </r>
    <r>
      <rPr>
        <sz val="12"/>
        <color rgb="FF4F4F4F"/>
        <rFont val="Inter"/>
      </rPr>
      <t xml:space="preserve"> te permite redondear un número positivo hacia arriba y un número negativo hacia abajo hasta el próximo entero impar.</t>
    </r>
  </si>
  <si>
    <t>REDONDEA IMPAR</t>
  </si>
  <si>
    <t>Función SUMAR.SI</t>
  </si>
  <si>
    <t xml:space="preserve"> 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</si>
  <si>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Sumar.Si</t>
    </r>
    <r>
      <rPr>
        <sz val="12"/>
        <color rgb="FFFF6060"/>
        <rFont val="Inter"/>
      </rPr>
      <t xml:space="preserve"> </t>
    </r>
    <r>
      <rPr>
        <sz val="12"/>
        <color rgb="FF4F4F4F"/>
        <rFont val="Inter"/>
      </rPr>
      <t>te permite sumar las celdas que cumplen determinado criterio o condición.</t>
    </r>
  </si>
  <si>
    <t>Cuadro de atención</t>
  </si>
  <si>
    <t>Mes: Diciembre</t>
  </si>
  <si>
    <t>Folio</t>
  </si>
  <si>
    <t>Tipo</t>
  </si>
  <si>
    <t>Enfermedad</t>
  </si>
  <si>
    <t>Riesgo</t>
  </si>
  <si>
    <t>Adultos</t>
  </si>
  <si>
    <t>Niños</t>
  </si>
  <si>
    <t>Adulto Mayor</t>
  </si>
  <si>
    <t>Total de personas atendidas</t>
  </si>
  <si>
    <t>Infecciosa</t>
  </si>
  <si>
    <t>TBC</t>
  </si>
  <si>
    <t>Endocrinas</t>
  </si>
  <si>
    <t>Hipertirodismo</t>
  </si>
  <si>
    <t>HIV</t>
  </si>
  <si>
    <t>Congénitas</t>
  </si>
  <si>
    <t>Microcefalía</t>
  </si>
  <si>
    <t>Neoplasias</t>
  </si>
  <si>
    <t>Adenocarcinoma</t>
  </si>
  <si>
    <t>Anencefalía</t>
  </si>
  <si>
    <t>Dengüe</t>
  </si>
  <si>
    <t>Miosarcoma</t>
  </si>
  <si>
    <t>Diabétes</t>
  </si>
  <si>
    <t>Menlanoma</t>
  </si>
  <si>
    <t>Hepatitis B</t>
  </si>
  <si>
    <t>Cushing</t>
  </si>
  <si>
    <t>Metabólicas</t>
  </si>
  <si>
    <t>Hipercolesterolemía</t>
  </si>
  <si>
    <t>Hiperuricemía</t>
  </si>
  <si>
    <t>Determinar la cantidad total de personas atendidas por riesgo 1</t>
  </si>
  <si>
    <t>Determinar la cantidad total de personas atendidas por riesgo 2</t>
  </si>
  <si>
    <t>Determinar la cantidad total de personas atendidas por riesgo 3</t>
  </si>
  <si>
    <t>Determinar la cantidad total de personas atendidas por enfermedad tipo infecciosa</t>
  </si>
  <si>
    <t>Determinar la cantidad total de personas atendidas por enfermedad tipo endocrina</t>
  </si>
  <si>
    <t>Determinar la cantidad total de personas atendidas por enfermedad tipo congénita</t>
  </si>
  <si>
    <t>Determinar la cantidad total de personas atendidas por enfermedad tipo neoplasias</t>
  </si>
  <si>
    <t>Determinar la cantidad total de personas atendidas por enfermedad tipo metabólicas</t>
  </si>
  <si>
    <t>Función SUMAR.SI.CONJUNTO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</si>
  <si>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Sumar.Si.Conjunto</t>
    </r>
    <r>
      <rPr>
        <sz val="12"/>
        <color rgb="FF4F4F4F"/>
        <rFont val="Inter"/>
      </rPr>
      <t xml:space="preserve"> te permite sumar las celdas de un rango que cumplan varios criterios.</t>
    </r>
  </si>
  <si>
    <t>Planilla de Pagos del Personal Fundo "San Juan"</t>
  </si>
  <si>
    <t>Mes: Agosto</t>
  </si>
  <si>
    <t>Personal</t>
  </si>
  <si>
    <t>Categoría</t>
  </si>
  <si>
    <t>Turno</t>
  </si>
  <si>
    <t>Sexo</t>
  </si>
  <si>
    <t>Estado Civil</t>
  </si>
  <si>
    <t>Sueldo</t>
  </si>
  <si>
    <t>Hijos</t>
  </si>
  <si>
    <t>Tardanza</t>
  </si>
  <si>
    <t>Bonificación</t>
  </si>
  <si>
    <t>Mejía Tirado Manuel</t>
  </si>
  <si>
    <t>A</t>
  </si>
  <si>
    <t>M</t>
  </si>
  <si>
    <t>S</t>
  </si>
  <si>
    <t>Determinar el total de hijos que cumplan los siguientes requisitos</t>
  </si>
  <si>
    <t>Castañeda Cedillo Rosangela</t>
  </si>
  <si>
    <t>B</t>
  </si>
  <si>
    <t>F</t>
  </si>
  <si>
    <t>C</t>
  </si>
  <si>
    <t>Categoria B</t>
  </si>
  <si>
    <t>Agurto Campos Miguel</t>
  </si>
  <si>
    <t>Solteros</t>
  </si>
  <si>
    <t>Paz Ayulo Sujgey</t>
  </si>
  <si>
    <t>T</t>
  </si>
  <si>
    <t>Quispe Flores Patricia</t>
  </si>
  <si>
    <t>Determinar el total de sueldos que cumplan los siguientes requisitos</t>
  </si>
  <si>
    <t>Soto Rivera Melisa</t>
  </si>
  <si>
    <t>Categoria A</t>
  </si>
  <si>
    <t>Rivera Rodriguez Tito</t>
  </si>
  <si>
    <t>Turno Mañana</t>
  </si>
  <si>
    <t>Espinoza Alegre Mariana</t>
  </si>
  <si>
    <t>N</t>
  </si>
  <si>
    <t>Sin hijos</t>
  </si>
  <si>
    <t>Pinillos Gutierres Zaida</t>
  </si>
  <si>
    <t>Huacache Alvarado Ronald</t>
  </si>
  <si>
    <t>Determinar el total de tardanzas que cumplan los siguientes requisitos</t>
  </si>
  <si>
    <t>Hilario Paucar Paola</t>
  </si>
  <si>
    <t>Bonificación mayor o igual a 300</t>
  </si>
  <si>
    <t>Villar Orihuela Jessica</t>
  </si>
  <si>
    <t>Categoría C</t>
  </si>
  <si>
    <t>Guevara Rodríguez José</t>
  </si>
  <si>
    <t>Casados</t>
  </si>
  <si>
    <t>Lozana Ravichagua Erika</t>
  </si>
  <si>
    <t>Marcos Vales Sofia</t>
  </si>
  <si>
    <t>Determinar el total de bonificación que cumplan los siguientes requisitos</t>
  </si>
  <si>
    <t>Poma Suvilca Eder</t>
  </si>
  <si>
    <t>Ledesma Paco Teresa</t>
  </si>
  <si>
    <t>Miranda Sefler Omar</t>
  </si>
  <si>
    <t>Carrazco Montoya Yaya</t>
  </si>
  <si>
    <t>Ovando Leton Camila</t>
  </si>
  <si>
    <t>Renteria Velez Linda</t>
  </si>
  <si>
    <t>Kaser Cespedes Itan</t>
  </si>
  <si>
    <t>Falcon Matias Raul</t>
  </si>
  <si>
    <t>Lopez Davalos Roymer</t>
  </si>
  <si>
    <t>Linares Paredes Esteban</t>
  </si>
  <si>
    <t>Morales Duarez Dario</t>
  </si>
  <si>
    <t>Enriquez Lujan Damian</t>
  </si>
  <si>
    <t>Castro Paz Sandra</t>
  </si>
  <si>
    <t>Klinton Ferrer Fatima</t>
  </si>
  <si>
    <t>Santos Farfan Gabriela</t>
  </si>
  <si>
    <t>Rodriguez Mayurí María</t>
  </si>
  <si>
    <t>Función SUMAPRODUCTO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</si>
  <si>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SumaProducto</t>
    </r>
    <r>
      <rPr>
        <sz val="12"/>
        <color rgb="FF4F4F4F"/>
        <rFont val="Inter"/>
      </rPr>
      <t xml:space="preserve"> calcula la suma de los productos correspondientes componentes de matriz.</t>
    </r>
  </si>
  <si>
    <t>Lista de compras de la tienda "Don Lolo"</t>
  </si>
  <si>
    <t>Mes: Noviembre</t>
  </si>
  <si>
    <t>Producto</t>
  </si>
  <si>
    <t>Unidad de Medida</t>
  </si>
  <si>
    <t>Cantidad</t>
  </si>
  <si>
    <t>Precio Unitario</t>
  </si>
  <si>
    <t>PROD-1</t>
  </si>
  <si>
    <t>Caja</t>
  </si>
  <si>
    <t>Determinar el importe total</t>
  </si>
  <si>
    <t>PROD-2</t>
  </si>
  <si>
    <t>Litro</t>
  </si>
  <si>
    <t>PROD-3</t>
  </si>
  <si>
    <t>Kilo</t>
  </si>
  <si>
    <t>PROD-4</t>
  </si>
  <si>
    <t>PROD-5</t>
  </si>
  <si>
    <t>PROD-6</t>
  </si>
  <si>
    <t>PROD-7</t>
  </si>
  <si>
    <t>Millar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</si>
</sst>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rial"/>
    </font>
    <font>
      <sz val="11"/>
      <color theme="1"/>
      <name val="Inter"/>
    </font>
    <font>
      <b/>
      <sz val="29"/>
      <color rgb="FF000000"/>
      <name val="Krona One"/>
    </font>
    <font>
      <b/>
      <sz val="15"/>
      <color rgb="FF44546A"/>
      <name val="Inter"/>
    </font>
    <font>
      <b/>
      <sz val="16"/>
      <color rgb="FFFF6060"/>
      <name val="Inter"/>
    </font>
    <font>
      <b/>
      <sz val="12"/>
      <color theme="1"/>
      <name val="Inter"/>
    </font>
    <font>
      <sz val="12"/>
      <color rgb="FF4F4F4F"/>
      <name val="Inter"/>
    </font>
    <font>
      <sz val="12"/>
      <color theme="1"/>
      <name val="Inter"/>
    </font>
    <font>
      <b/>
      <sz val="11"/>
      <color theme="1"/>
      <name val="Inter"/>
    </font>
    <font>
      <sz val="11"/>
      <color theme="1"/>
      <name val="Calibri"/>
    </font>
    <font>
      <sz val="11"/>
      <color theme="0"/>
      <name val="Calibri"/>
    </font>
    <font>
      <b/>
      <sz val="12"/>
      <color rgb="FF013C64"/>
      <name val="Century Gothic"/>
    </font>
    <font>
      <sz val="11"/>
      <color rgb="FF4F4F4F"/>
      <name val="Calibri"/>
    </font>
    <font>
      <sz val="12"/>
      <color theme="1"/>
      <name val="Century Gothic"/>
    </font>
    <font>
      <sz val="11"/>
      <name val="Arial"/>
    </font>
    <font>
      <b/>
      <sz val="11"/>
      <color theme="1"/>
      <name val="Calibri"/>
    </font>
    <font>
      <sz val="11"/>
      <color theme="1"/>
      <name val="Century Gothic"/>
    </font>
    <font>
      <sz val="11"/>
      <color theme="1"/>
      <name val="Calibri"/>
    </font>
    <font>
      <sz val="11"/>
      <color rgb="FF4F4F4F"/>
      <name val="Inter"/>
    </font>
    <font>
      <b/>
      <sz val="12"/>
      <color theme="1"/>
      <name val="Century Gothic"/>
    </font>
    <font>
      <sz val="12"/>
      <color rgb="FF000000"/>
      <name val="Inter"/>
    </font>
    <font>
      <sz val="11"/>
      <color rgb="FF000000"/>
      <name val="Inter"/>
    </font>
    <font>
      <b/>
      <sz val="12"/>
      <color rgb="FF000000"/>
      <name val="Inter"/>
    </font>
    <font>
      <b/>
      <sz val="12"/>
      <color rgb="FFFF6060"/>
      <name val="Inter"/>
    </font>
    <font>
      <b/>
      <sz val="12"/>
      <color rgb="FF4F4F4F"/>
      <name val="Inter"/>
    </font>
    <font>
      <sz val="12"/>
      <color rgb="FFFF6060"/>
      <name val="Inter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F4F4F"/>
        <bgColor rgb="FF4F4F4F"/>
      </patternFill>
    </fill>
    <fill>
      <patternFill patternType="solid">
        <fgColor rgb="FF7ADBD7"/>
        <bgColor rgb="FF7ADBD7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7ADBD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838383"/>
      </left>
      <right/>
      <top style="medium">
        <color rgb="FF838383"/>
      </top>
      <bottom style="medium">
        <color rgb="FF838383"/>
      </bottom>
      <diagonal/>
    </border>
    <border>
      <left/>
      <right/>
      <top style="medium">
        <color rgb="FF838383"/>
      </top>
      <bottom style="medium">
        <color rgb="FF838383"/>
      </bottom>
      <diagonal/>
    </border>
    <border>
      <left/>
      <right style="medium">
        <color rgb="FF838383"/>
      </right>
      <top style="medium">
        <color rgb="FF838383"/>
      </top>
      <bottom style="medium">
        <color rgb="FF838383"/>
      </bottom>
      <diagonal/>
    </border>
    <border>
      <left style="medium">
        <color rgb="FF838383"/>
      </left>
      <right/>
      <top/>
      <bottom/>
      <diagonal/>
    </border>
    <border>
      <left/>
      <right style="medium">
        <color rgb="FF838383"/>
      </right>
      <top/>
      <bottom/>
      <diagonal/>
    </border>
    <border>
      <left style="medium">
        <color rgb="FF838383"/>
      </left>
      <right/>
      <top/>
      <bottom style="medium">
        <color rgb="FF838383"/>
      </bottom>
      <diagonal/>
    </border>
    <border>
      <left/>
      <right style="medium">
        <color rgb="FF838383"/>
      </right>
      <top/>
      <bottom style="medium">
        <color rgb="FF838383"/>
      </bottom>
      <diagonal/>
    </border>
  </borders>
  <cellStyleXfs count="2">
    <xf numFmtId="0" fontId="0" fillId="0" borderId="0"/>
    <xf numFmtId="0" fontId="26" fillId="0" borderId="5"/>
  </cellStyleXfs>
  <cellXfs count="80">
    <xf numFmtId="0" fontId="0" fillId="0" borderId="0" xfId="0" applyFont="1" applyAlignment="1"/>
    <xf numFmtId="0" fontId="1" fillId="0" borderId="0" xfId="0" applyFont="1"/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8" fillId="3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10" fillId="0" borderId="0" xfId="0" applyFont="1"/>
    <xf numFmtId="0" fontId="9" fillId="0" borderId="0" xfId="0" applyFont="1"/>
    <xf numFmtId="0" fontId="7" fillId="0" borderId="0" xfId="0" applyFont="1"/>
    <xf numFmtId="0" fontId="6" fillId="0" borderId="0" xfId="0" applyFont="1"/>
    <xf numFmtId="49" fontId="13" fillId="0" borderId="0" xfId="0" applyNumberFormat="1" applyFont="1"/>
    <xf numFmtId="0" fontId="15" fillId="0" borderId="0" xfId="0" applyFont="1"/>
    <xf numFmtId="0" fontId="16" fillId="0" borderId="0" xfId="0" applyFont="1"/>
    <xf numFmtId="0" fontId="9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3" fillId="0" borderId="0" xfId="0" applyFont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9" fillId="4" borderId="1" xfId="0" applyFont="1" applyFill="1" applyBorder="1"/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0" fillId="0" borderId="5" xfId="1" applyFont="1"/>
    <xf numFmtId="0" fontId="1" fillId="0" borderId="5" xfId="1" applyFont="1"/>
    <xf numFmtId="0" fontId="1" fillId="2" borderId="5" xfId="1" applyFont="1" applyFill="1"/>
    <xf numFmtId="0" fontId="8" fillId="0" borderId="5" xfId="1" applyFont="1"/>
    <xf numFmtId="0" fontId="8" fillId="3" borderId="5" xfId="1" applyFont="1" applyFill="1" applyAlignment="1">
      <alignment horizontal="center" vertical="center"/>
    </xf>
    <xf numFmtId="0" fontId="5" fillId="0" borderId="5" xfId="1" applyFont="1"/>
    <xf numFmtId="49" fontId="7" fillId="0" borderId="5" xfId="1" applyNumberFormat="1" applyFont="1"/>
    <xf numFmtId="0" fontId="4" fillId="0" borderId="5" xfId="1" applyFont="1"/>
    <xf numFmtId="0" fontId="3" fillId="0" borderId="2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9" fillId="2" borderId="5" xfId="1" applyFont="1" applyFill="1"/>
    <xf numFmtId="0" fontId="15" fillId="0" borderId="5" xfId="1" applyFont="1"/>
    <xf numFmtId="0" fontId="11" fillId="0" borderId="5" xfId="1" applyFont="1"/>
    <xf numFmtId="0" fontId="6" fillId="0" borderId="5" xfId="1" applyFont="1"/>
    <xf numFmtId="0" fontId="7" fillId="0" borderId="5" xfId="1" applyFont="1"/>
    <xf numFmtId="0" fontId="16" fillId="0" borderId="5" xfId="1" applyFont="1"/>
    <xf numFmtId="49" fontId="13" fillId="0" borderId="5" xfId="1" applyNumberFormat="1" applyFont="1"/>
    <xf numFmtId="0" fontId="12" fillId="0" borderId="5" xfId="1" applyFont="1"/>
    <xf numFmtId="0" fontId="9" fillId="0" borderId="5" xfId="1" applyFont="1"/>
    <xf numFmtId="0" fontId="10" fillId="0" borderId="5" xfId="1" applyFont="1"/>
    <xf numFmtId="0" fontId="9" fillId="0" borderId="5" xfId="1" applyFont="1" applyAlignment="1">
      <alignment horizontal="center"/>
    </xf>
    <xf numFmtId="0" fontId="6" fillId="0" borderId="5" xfId="1" applyFont="1" applyAlignment="1">
      <alignment horizontal="left"/>
    </xf>
    <xf numFmtId="0" fontId="0" fillId="0" borderId="5" xfId="1" applyFont="1"/>
    <xf numFmtId="0" fontId="16" fillId="0" borderId="5" xfId="1" applyFont="1" applyAlignment="1">
      <alignment horizontal="center"/>
    </xf>
    <xf numFmtId="0" fontId="8" fillId="3" borderId="5" xfId="1" applyFont="1" applyFill="1" applyAlignment="1">
      <alignment horizontal="center" vertical="center"/>
    </xf>
    <xf numFmtId="0" fontId="14" fillId="0" borderId="5" xfId="1" applyFont="1"/>
    <xf numFmtId="0" fontId="9" fillId="0" borderId="5" xfId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Font="1" applyAlignment="1"/>
    <xf numFmtId="0" fontId="1" fillId="3" borderId="3" xfId="0" applyFont="1" applyFill="1" applyBorder="1" applyAlignment="1">
      <alignment horizontal="left"/>
    </xf>
    <xf numFmtId="0" fontId="14" fillId="0" borderId="5" xfId="0" applyFont="1" applyBorder="1"/>
    <xf numFmtId="0" fontId="14" fillId="0" borderId="4" xfId="0" applyFont="1" applyBorder="1"/>
    <xf numFmtId="0" fontId="1" fillId="0" borderId="6" xfId="0" applyFont="1" applyBorder="1" applyAlignment="1">
      <alignment horizontal="center"/>
    </xf>
    <xf numFmtId="0" fontId="14" fillId="0" borderId="7" xfId="0" applyFont="1" applyBorder="1"/>
    <xf numFmtId="0" fontId="14" fillId="0" borderId="8" xfId="0" applyFont="1" applyBorder="1"/>
    <xf numFmtId="0" fontId="5" fillId="3" borderId="3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4" fillId="0" borderId="10" xfId="0" applyFont="1" applyBorder="1"/>
    <xf numFmtId="0" fontId="14" fillId="0" borderId="11" xfId="0" applyFont="1" applyBorder="1"/>
    <xf numFmtId="0" fontId="14" fillId="0" borderId="12" xfId="0" applyFont="1" applyBorder="1"/>
    <xf numFmtId="0" fontId="14" fillId="0" borderId="9" xfId="0" applyFont="1" applyBorder="1"/>
    <xf numFmtId="0" fontId="22" fillId="3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E7E2AF5F-72E9-4321-BD23-4695D0082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752475</xdr:colOff>
      <xdr:row>13</xdr:row>
      <xdr:rowOff>161925</xdr:rowOff>
    </xdr:from>
    <xdr:ext cx="1571625" cy="2857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25359A6-F525-458E-900E-040947CBA61C}"/>
            </a:ext>
          </a:extLst>
        </xdr:cNvPr>
        <xdr:cNvSpPr txBox="1"/>
      </xdr:nvSpPr>
      <xdr:spPr>
        <a:xfrm>
          <a:off x="2676525" y="2514600"/>
          <a:ext cx="1571625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304800</xdr:colOff>
      <xdr:row>0</xdr:row>
      <xdr:rowOff>142875</xdr:rowOff>
    </xdr:from>
    <xdr:ext cx="3800475" cy="1038225"/>
    <xdr:pic>
      <xdr:nvPicPr>
        <xdr:cNvPr id="3" name="image1.png">
          <a:extLst>
            <a:ext uri="{FF2B5EF4-FFF2-40B4-BE49-F238E27FC236}">
              <a16:creationId xmlns:a16="http://schemas.microsoft.com/office/drawing/2014/main" id="{408B2AFC-A019-4F12-AC43-6F6E213013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28850" y="142875"/>
          <a:ext cx="3800475" cy="10382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476250</xdr:colOff>
      <xdr:row>2</xdr:row>
      <xdr:rowOff>19050</xdr:rowOff>
    </xdr:from>
    <xdr:ext cx="3676650" cy="685800"/>
    <xdr:pic>
      <xdr:nvPicPr>
        <xdr:cNvPr id="4" name="image2.png">
          <a:extLst>
            <a:ext uri="{FF2B5EF4-FFF2-40B4-BE49-F238E27FC236}">
              <a16:creationId xmlns:a16="http://schemas.microsoft.com/office/drawing/2014/main" id="{99FDCF34-F82B-4B84-A55C-3BAA22FA144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72450" y="381000"/>
          <a:ext cx="36766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689161</xdr:colOff>
      <xdr:row>16</xdr:row>
      <xdr:rowOff>8404</xdr:rowOff>
    </xdr:from>
    <xdr:ext cx="2133600" cy="28575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36140F0B-EC3D-407B-A334-DDBFD1CBA749}"/>
            </a:ext>
          </a:extLst>
        </xdr:cNvPr>
        <xdr:cNvSpPr txBox="1"/>
      </xdr:nvSpPr>
      <xdr:spPr>
        <a:xfrm>
          <a:off x="2613211" y="2904004"/>
          <a:ext cx="2133600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=ALEATORIO()</a:t>
          </a:r>
          <a:endParaRPr sz="1400"/>
        </a:p>
      </xdr:txBody>
    </xdr:sp>
    <xdr:clientData fLocksWithSheet="0"/>
  </xdr:oneCellAnchor>
  <xdr:oneCellAnchor>
    <xdr:from>
      <xdr:col>2</xdr:col>
      <xdr:colOff>752475</xdr:colOff>
      <xdr:row>30</xdr:row>
      <xdr:rowOff>142875</xdr:rowOff>
    </xdr:from>
    <xdr:ext cx="3009900" cy="304800"/>
    <xdr:sp macro="" textlink="">
      <xdr:nvSpPr>
        <xdr:cNvPr id="3" name="Shape 8">
          <a:extLst>
            <a:ext uri="{FF2B5EF4-FFF2-40B4-BE49-F238E27FC236}">
              <a16:creationId xmlns:a16="http://schemas.microsoft.com/office/drawing/2014/main" id="{4B82A39B-18CA-4D04-9752-879AF3D877D3}"/>
            </a:ext>
          </a:extLst>
        </xdr:cNvPr>
        <xdr:cNvSpPr txBox="1"/>
      </xdr:nvSpPr>
      <xdr:spPr>
        <a:xfrm>
          <a:off x="2676525" y="5572125"/>
          <a:ext cx="3009900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=ALEATORIO.ENTRE(INFERIOR,SUPERIOR)</a:t>
          </a:r>
          <a:endParaRPr sz="1400"/>
        </a:p>
      </xdr:txBody>
    </xdr:sp>
    <xdr:clientData fLocksWithSheet="0"/>
  </xdr:oneCellAnchor>
  <xdr:oneCellAnchor>
    <xdr:from>
      <xdr:col>6</xdr:col>
      <xdr:colOff>2095500</xdr:colOff>
      <xdr:row>1</xdr:row>
      <xdr:rowOff>85725</xdr:rowOff>
    </xdr:from>
    <xdr:ext cx="3581400" cy="685800"/>
    <xdr:pic>
      <xdr:nvPicPr>
        <xdr:cNvPr id="4" name="image2.png">
          <a:extLst>
            <a:ext uri="{FF2B5EF4-FFF2-40B4-BE49-F238E27FC236}">
              <a16:creationId xmlns:a16="http://schemas.microsoft.com/office/drawing/2014/main" id="{FE3767CF-30F8-4203-8907-4AD7BFB6FD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34175" y="266700"/>
          <a:ext cx="35814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0</xdr:row>
      <xdr:rowOff>142875</xdr:rowOff>
    </xdr:from>
    <xdr:ext cx="3771900" cy="1038225"/>
    <xdr:pic>
      <xdr:nvPicPr>
        <xdr:cNvPr id="5" name="image3.png">
          <a:extLst>
            <a:ext uri="{FF2B5EF4-FFF2-40B4-BE49-F238E27FC236}">
              <a16:creationId xmlns:a16="http://schemas.microsoft.com/office/drawing/2014/main" id="{7AFE62CA-EFC4-4CD5-B917-FBA136B17DB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38375" y="142875"/>
          <a:ext cx="3771900" cy="10382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75640</xdr:colOff>
      <xdr:row>14</xdr:row>
      <xdr:rowOff>173131</xdr:rowOff>
    </xdr:from>
    <xdr:ext cx="2438400" cy="285750"/>
    <xdr:sp macro="" textlink="">
      <xdr:nvSpPr>
        <xdr:cNvPr id="2" name="Shape 12">
          <a:extLst>
            <a:ext uri="{FF2B5EF4-FFF2-40B4-BE49-F238E27FC236}">
              <a16:creationId xmlns:a16="http://schemas.microsoft.com/office/drawing/2014/main" id="{194BF157-7CD5-4DD6-B9D0-9D822B74E3A8}"/>
            </a:ext>
          </a:extLst>
        </xdr:cNvPr>
        <xdr:cNvSpPr txBox="1"/>
      </xdr:nvSpPr>
      <xdr:spPr>
        <a:xfrm>
          <a:off x="2961715" y="2706781"/>
          <a:ext cx="2438400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=ENTERO(argumento1)</a:t>
          </a:r>
          <a:endParaRPr sz="1400"/>
        </a:p>
      </xdr:txBody>
    </xdr:sp>
    <xdr:clientData fLocksWithSheet="0"/>
  </xdr:oneCellAnchor>
  <xdr:oneCellAnchor>
    <xdr:from>
      <xdr:col>6</xdr:col>
      <xdr:colOff>2371725</xdr:colOff>
      <xdr:row>1</xdr:row>
      <xdr:rowOff>123825</xdr:rowOff>
    </xdr:from>
    <xdr:ext cx="3409950" cy="704850"/>
    <xdr:pic>
      <xdr:nvPicPr>
        <xdr:cNvPr id="3" name="image2.png">
          <a:extLst>
            <a:ext uri="{FF2B5EF4-FFF2-40B4-BE49-F238E27FC236}">
              <a16:creationId xmlns:a16="http://schemas.microsoft.com/office/drawing/2014/main" id="{4C640A81-AF34-4DB3-8203-E50FBB6088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34175" y="304800"/>
          <a:ext cx="3409950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0</xdr:row>
      <xdr:rowOff>142875</xdr:rowOff>
    </xdr:from>
    <xdr:ext cx="3771900" cy="1038225"/>
    <xdr:pic>
      <xdr:nvPicPr>
        <xdr:cNvPr id="4" name="image3.png">
          <a:extLst>
            <a:ext uri="{FF2B5EF4-FFF2-40B4-BE49-F238E27FC236}">
              <a16:creationId xmlns:a16="http://schemas.microsoft.com/office/drawing/2014/main" id="{796E6BFC-EA50-4E24-9A63-6BBFFA4AB62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14575" y="142875"/>
          <a:ext cx="3771900" cy="1038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13</xdr:row>
      <xdr:rowOff>133350</xdr:rowOff>
    </xdr:from>
    <xdr:ext cx="1266825" cy="285750"/>
    <xdr:sp macro="" textlink="">
      <xdr:nvSpPr>
        <xdr:cNvPr id="2" name="Shape 13">
          <a:extLst>
            <a:ext uri="{FF2B5EF4-FFF2-40B4-BE49-F238E27FC236}">
              <a16:creationId xmlns:a16="http://schemas.microsoft.com/office/drawing/2014/main" id="{5065B821-30C1-4B0F-8A6C-11006865E782}"/>
            </a:ext>
          </a:extLst>
        </xdr:cNvPr>
        <xdr:cNvSpPr txBox="1"/>
      </xdr:nvSpPr>
      <xdr:spPr>
        <a:xfrm>
          <a:off x="2724150" y="2486025"/>
          <a:ext cx="1266825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266825" cy="285750"/>
    <xdr:sp macro="" textlink="">
      <xdr:nvSpPr>
        <xdr:cNvPr id="3" name="Shape 14">
          <a:extLst>
            <a:ext uri="{FF2B5EF4-FFF2-40B4-BE49-F238E27FC236}">
              <a16:creationId xmlns:a16="http://schemas.microsoft.com/office/drawing/2014/main" id="{EC23FAA0-5B9C-41CE-ADBA-BCFFFEA053FB}"/>
            </a:ext>
          </a:extLst>
        </xdr:cNvPr>
        <xdr:cNvSpPr txBox="1"/>
      </xdr:nvSpPr>
      <xdr:spPr>
        <a:xfrm>
          <a:off x="2724150" y="2486025"/>
          <a:ext cx="1266825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266825" cy="285750"/>
    <xdr:sp macro="" textlink="">
      <xdr:nvSpPr>
        <xdr:cNvPr id="4" name="Shape 15">
          <a:extLst>
            <a:ext uri="{FF2B5EF4-FFF2-40B4-BE49-F238E27FC236}">
              <a16:creationId xmlns:a16="http://schemas.microsoft.com/office/drawing/2014/main" id="{F89F224E-DFE0-4F1F-B394-56C55B794E70}"/>
            </a:ext>
          </a:extLst>
        </xdr:cNvPr>
        <xdr:cNvSpPr txBox="1"/>
      </xdr:nvSpPr>
      <xdr:spPr>
        <a:xfrm>
          <a:off x="2724150" y="2486025"/>
          <a:ext cx="1266825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752475</xdr:colOff>
      <xdr:row>13</xdr:row>
      <xdr:rowOff>161925</xdr:rowOff>
    </xdr:from>
    <xdr:ext cx="2752725" cy="285750"/>
    <xdr:sp macro="" textlink="">
      <xdr:nvSpPr>
        <xdr:cNvPr id="5" name="Shape 16">
          <a:extLst>
            <a:ext uri="{FF2B5EF4-FFF2-40B4-BE49-F238E27FC236}">
              <a16:creationId xmlns:a16="http://schemas.microsoft.com/office/drawing/2014/main" id="{10FA4C9D-06D5-4551-A7F4-D77C5097525F}"/>
            </a:ext>
          </a:extLst>
        </xdr:cNvPr>
        <xdr:cNvSpPr txBox="1"/>
      </xdr:nvSpPr>
      <xdr:spPr>
        <a:xfrm>
          <a:off x="2676525" y="2514600"/>
          <a:ext cx="2752725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=POTENCIA(NÚMERO,POTENCIA)</a:t>
          </a:r>
          <a:endParaRPr sz="1400"/>
        </a:p>
      </xdr:txBody>
    </xdr:sp>
    <xdr:clientData fLocksWithSheet="0"/>
  </xdr:oneCellAnchor>
  <xdr:oneCellAnchor>
    <xdr:from>
      <xdr:col>8</xdr:col>
      <xdr:colOff>903143</xdr:colOff>
      <xdr:row>13</xdr:row>
      <xdr:rowOff>175780</xdr:rowOff>
    </xdr:from>
    <xdr:ext cx="2171700" cy="285750"/>
    <xdr:sp macro="" textlink="">
      <xdr:nvSpPr>
        <xdr:cNvPr id="6" name="Shape 17">
          <a:extLst>
            <a:ext uri="{FF2B5EF4-FFF2-40B4-BE49-F238E27FC236}">
              <a16:creationId xmlns:a16="http://schemas.microsoft.com/office/drawing/2014/main" id="{98D6F3E3-93F0-4E89-AB76-8D31DDA12604}"/>
            </a:ext>
          </a:extLst>
        </xdr:cNvPr>
        <xdr:cNvSpPr txBox="1"/>
      </xdr:nvSpPr>
      <xdr:spPr>
        <a:xfrm>
          <a:off x="8599343" y="2528455"/>
          <a:ext cx="2171700" cy="2857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=NÚMERO^POTENCIA</a:t>
          </a:r>
          <a:endParaRPr sz="1400"/>
        </a:p>
      </xdr:txBody>
    </xdr:sp>
    <xdr:clientData fLocksWithSheet="0"/>
  </xdr:oneCellAnchor>
  <xdr:oneCellAnchor>
    <xdr:from>
      <xdr:col>2</xdr:col>
      <xdr:colOff>333375</xdr:colOff>
      <xdr:row>0</xdr:row>
      <xdr:rowOff>152400</xdr:rowOff>
    </xdr:from>
    <xdr:ext cx="3771900" cy="1047750"/>
    <xdr:pic>
      <xdr:nvPicPr>
        <xdr:cNvPr id="7" name="image4.png">
          <a:extLst>
            <a:ext uri="{FF2B5EF4-FFF2-40B4-BE49-F238E27FC236}">
              <a16:creationId xmlns:a16="http://schemas.microsoft.com/office/drawing/2014/main" id="{723D3C17-6863-4903-AF9D-9725D4A05E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57425" y="152400"/>
          <a:ext cx="3771900" cy="10477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476250</xdr:colOff>
      <xdr:row>2</xdr:row>
      <xdr:rowOff>38100</xdr:rowOff>
    </xdr:from>
    <xdr:ext cx="3790950" cy="685800"/>
    <xdr:pic>
      <xdr:nvPicPr>
        <xdr:cNvPr id="8" name="image2.png">
          <a:extLst>
            <a:ext uri="{FF2B5EF4-FFF2-40B4-BE49-F238E27FC236}">
              <a16:creationId xmlns:a16="http://schemas.microsoft.com/office/drawing/2014/main" id="{BE601B57-FC4F-46E5-AF8A-3F750725FD1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10425" y="400050"/>
          <a:ext cx="3790950" cy="6858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13</xdr:row>
      <xdr:rowOff>133350</xdr:rowOff>
    </xdr:from>
    <xdr:ext cx="1266825" cy="2857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4717350" y="3641888"/>
          <a:ext cx="125730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266825" cy="2857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4717350" y="3641888"/>
          <a:ext cx="125730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266825" cy="2857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4717350" y="3641888"/>
          <a:ext cx="125730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161925</xdr:rowOff>
    </xdr:from>
    <xdr:ext cx="2085975" cy="2857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4307775" y="3641888"/>
          <a:ext cx="207645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=RAÍZ(argumento1)</a:t>
          </a:r>
          <a:endParaRPr sz="1400"/>
        </a:p>
      </xdr:txBody>
    </xdr:sp>
    <xdr:clientData fLocksWithSheet="0"/>
  </xdr:oneCellAnchor>
  <xdr:oneCellAnchor>
    <xdr:from>
      <xdr:col>2</xdr:col>
      <xdr:colOff>428625</xdr:colOff>
      <xdr:row>0</xdr:row>
      <xdr:rowOff>133350</xdr:rowOff>
    </xdr:from>
    <xdr:ext cx="3771900" cy="10382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</xdr:row>
      <xdr:rowOff>161925</xdr:rowOff>
    </xdr:from>
    <xdr:ext cx="3686175" cy="704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13</xdr:row>
      <xdr:rowOff>133350</xdr:rowOff>
    </xdr:from>
    <xdr:ext cx="1276350" cy="2857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4712588" y="3641888"/>
          <a:ext cx="1266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276350" cy="2857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4712588" y="3641888"/>
          <a:ext cx="1266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276350" cy="28575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4712588" y="3641888"/>
          <a:ext cx="1266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752475</xdr:colOff>
      <xdr:row>13</xdr:row>
      <xdr:rowOff>161925</xdr:rowOff>
    </xdr:from>
    <xdr:ext cx="4143375" cy="2857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3279075" y="3641888"/>
          <a:ext cx="413385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=REDONDEAR(NÚMERO,NÚM DE DECIMALES)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27</xdr:row>
      <xdr:rowOff>133350</xdr:rowOff>
    </xdr:from>
    <xdr:ext cx="1276350" cy="2857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4712588" y="3641888"/>
          <a:ext cx="1266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27</xdr:row>
      <xdr:rowOff>133350</xdr:rowOff>
    </xdr:from>
    <xdr:ext cx="1276350" cy="28575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4712588" y="3641888"/>
          <a:ext cx="1266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27</xdr:row>
      <xdr:rowOff>133350</xdr:rowOff>
    </xdr:from>
    <xdr:ext cx="1276350" cy="28575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4712588" y="3641888"/>
          <a:ext cx="1266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27</xdr:row>
      <xdr:rowOff>133350</xdr:rowOff>
    </xdr:from>
    <xdr:ext cx="3181350" cy="28575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3760088" y="3641888"/>
          <a:ext cx="3171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=REDONDEA.PAR(argumento1)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41</xdr:row>
      <xdr:rowOff>133350</xdr:rowOff>
    </xdr:from>
    <xdr:ext cx="1276350" cy="28575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4712588" y="3641888"/>
          <a:ext cx="1266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41</xdr:row>
      <xdr:rowOff>133350</xdr:rowOff>
    </xdr:from>
    <xdr:ext cx="1276350" cy="28575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4712588" y="3641888"/>
          <a:ext cx="1266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41</xdr:row>
      <xdr:rowOff>133350</xdr:rowOff>
    </xdr:from>
    <xdr:ext cx="1276350" cy="28575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4712588" y="3641888"/>
          <a:ext cx="1266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41</xdr:row>
      <xdr:rowOff>133350</xdr:rowOff>
    </xdr:from>
    <xdr:ext cx="3181350" cy="28575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3760088" y="3641888"/>
          <a:ext cx="31718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=REDONDEA.IMPAR(argumento1)</a:t>
          </a:r>
          <a:endParaRPr sz="1400"/>
        </a:p>
      </xdr:txBody>
    </xdr:sp>
    <xdr:clientData fLocksWithSheet="0"/>
  </xdr:oneCellAnchor>
  <xdr:oneCellAnchor>
    <xdr:from>
      <xdr:col>2</xdr:col>
      <xdr:colOff>447675</xdr:colOff>
      <xdr:row>0</xdr:row>
      <xdr:rowOff>133350</xdr:rowOff>
    </xdr:from>
    <xdr:ext cx="3743325" cy="10382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2</xdr:row>
      <xdr:rowOff>57150</xdr:rowOff>
    </xdr:from>
    <xdr:ext cx="3676650" cy="685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13</xdr:row>
      <xdr:rowOff>133350</xdr:rowOff>
    </xdr:from>
    <xdr:ext cx="1352550" cy="28575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4674488" y="3641888"/>
          <a:ext cx="13430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352550" cy="28575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4674488" y="3641888"/>
          <a:ext cx="13430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352550" cy="28575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4674488" y="3641888"/>
          <a:ext cx="13430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4</xdr:col>
      <xdr:colOff>904875</xdr:colOff>
      <xdr:row>14</xdr:row>
      <xdr:rowOff>19050</xdr:rowOff>
    </xdr:from>
    <xdr:ext cx="4467225" cy="26670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3505200" y="2943225"/>
          <a:ext cx="4467225" cy="2667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=SUMAR.SI(RANGO,CRITERIO,[RANGO_SUMA])</a:t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0</xdr:row>
      <xdr:rowOff>133350</xdr:rowOff>
    </xdr:from>
    <xdr:ext cx="3895725" cy="10382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2</xdr:row>
      <xdr:rowOff>9525</xdr:rowOff>
    </xdr:from>
    <xdr:ext cx="3686175" cy="685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13</xdr:row>
      <xdr:rowOff>133350</xdr:rowOff>
    </xdr:from>
    <xdr:ext cx="2286000" cy="28575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/>
      </xdr:nvSpPr>
      <xdr:spPr>
        <a:xfrm>
          <a:off x="4207763" y="3641888"/>
          <a:ext cx="22764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2286000" cy="28575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/>
      </xdr:nvSpPr>
      <xdr:spPr>
        <a:xfrm>
          <a:off x="4207763" y="3641888"/>
          <a:ext cx="22764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2286000" cy="2857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/>
      </xdr:nvSpPr>
      <xdr:spPr>
        <a:xfrm>
          <a:off x="4207763" y="3641888"/>
          <a:ext cx="227647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752475</xdr:colOff>
      <xdr:row>13</xdr:row>
      <xdr:rowOff>161925</xdr:rowOff>
    </xdr:from>
    <xdr:ext cx="5772150" cy="2857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2464688" y="3641888"/>
          <a:ext cx="57626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=SUMAR.SI.CONJUNTO(RANGO_SUMA,RANGO_CRITERIOS1,CRITERIO)</a:t>
          </a:r>
          <a:endParaRPr sz="1400"/>
        </a:p>
      </xdr:txBody>
    </xdr:sp>
    <xdr:clientData fLocksWithSheet="0"/>
  </xdr:oneCellAnchor>
  <xdr:oneCellAnchor>
    <xdr:from>
      <xdr:col>2</xdr:col>
      <xdr:colOff>342900</xdr:colOff>
      <xdr:row>0</xdr:row>
      <xdr:rowOff>104775</xdr:rowOff>
    </xdr:from>
    <xdr:ext cx="3743325" cy="10382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590550</xdr:colOff>
      <xdr:row>1</xdr:row>
      <xdr:rowOff>171450</xdr:rowOff>
    </xdr:from>
    <xdr:ext cx="3629025" cy="704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13</xdr:row>
      <xdr:rowOff>133350</xdr:rowOff>
    </xdr:from>
    <xdr:ext cx="1238250" cy="2857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/>
      </xdr:nvSpPr>
      <xdr:spPr>
        <a:xfrm>
          <a:off x="4731638" y="3641888"/>
          <a:ext cx="12287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238250" cy="28575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/>
      </xdr:nvSpPr>
      <xdr:spPr>
        <a:xfrm>
          <a:off x="4731638" y="3641888"/>
          <a:ext cx="12287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800100</xdr:colOff>
      <xdr:row>13</xdr:row>
      <xdr:rowOff>133350</xdr:rowOff>
    </xdr:from>
    <xdr:ext cx="1238250" cy="28575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>
          <a:off x="4731638" y="3641888"/>
          <a:ext cx="12287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=ABS(argumento1)</a:t>
          </a:r>
          <a:endParaRPr sz="1400"/>
        </a:p>
      </xdr:txBody>
    </xdr:sp>
    <xdr:clientData fLocksWithSheet="0"/>
  </xdr:oneCellAnchor>
  <xdr:oneCellAnchor>
    <xdr:from>
      <xdr:col>2</xdr:col>
      <xdr:colOff>752475</xdr:colOff>
      <xdr:row>13</xdr:row>
      <xdr:rowOff>161925</xdr:rowOff>
    </xdr:from>
    <xdr:ext cx="4667250" cy="28575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/>
      </xdr:nvSpPr>
      <xdr:spPr>
        <a:xfrm>
          <a:off x="3017138" y="3641888"/>
          <a:ext cx="4657725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4F4F4F"/>
              </a:solidFill>
              <a:latin typeface="Inter"/>
              <a:ea typeface="Inter"/>
              <a:cs typeface="Inter"/>
              <a:sym typeface="Inter"/>
            </a:rPr>
            <a:t>=SUMAPRODUCTO(MATRIZ1, [MATRIZ2], [MATRIZ3], …</a:t>
          </a:r>
          <a:r>
            <a:rPr lang="en-US" sz="12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)</a:t>
          </a:r>
          <a:endParaRPr sz="1400"/>
        </a:p>
      </xdr:txBody>
    </xdr:sp>
    <xdr:clientData fLocksWithSheet="0"/>
  </xdr:oneCellAnchor>
  <xdr:oneCellAnchor>
    <xdr:from>
      <xdr:col>2</xdr:col>
      <xdr:colOff>352425</xdr:colOff>
      <xdr:row>0</xdr:row>
      <xdr:rowOff>123825</xdr:rowOff>
    </xdr:from>
    <xdr:ext cx="3762375" cy="103822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1</xdr:row>
      <xdr:rowOff>152400</xdr:rowOff>
    </xdr:from>
    <xdr:ext cx="3686175" cy="704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4F8A-7160-49DD-998F-C667A6BE8AD8}">
  <dimension ref="A1:Z1000"/>
  <sheetViews>
    <sheetView showGridLines="0" topLeftCell="A7" zoomScale="85" zoomScaleNormal="85" workbookViewId="0">
      <selection activeCell="J21" sqref="J21"/>
    </sheetView>
  </sheetViews>
  <sheetFormatPr baseColWidth="10" defaultColWidth="12.625" defaultRowHeight="15" customHeight="1"/>
  <cols>
    <col min="1" max="1" width="7.625" style="37" customWidth="1"/>
    <col min="2" max="2" width="3" style="37" customWidth="1"/>
    <col min="3" max="3" width="9.5" style="37" customWidth="1"/>
    <col min="4" max="4" width="13" style="37" customWidth="1"/>
    <col min="5" max="5" width="17.375" style="37" customWidth="1"/>
    <col min="6" max="6" width="8.875" style="37" customWidth="1"/>
    <col min="7" max="7" width="10.625" style="37" customWidth="1"/>
    <col min="8" max="9" width="14.75" style="37" customWidth="1"/>
    <col min="10" max="10" width="17.375" style="37" customWidth="1"/>
    <col min="11" max="11" width="9.625" style="37" customWidth="1"/>
    <col min="12" max="15" width="9.5" style="37" customWidth="1"/>
    <col min="16" max="16" width="9.625" style="37" customWidth="1"/>
    <col min="17" max="17" width="77.75" style="37" customWidth="1"/>
    <col min="18" max="26" width="9.375" style="37" customWidth="1"/>
    <col min="27" max="16384" width="12.625" style="37"/>
  </cols>
  <sheetData>
    <row r="1" spans="1:26" ht="14.25">
      <c r="A1" s="39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4.25">
      <c r="A2" s="39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4.25">
      <c r="A3" s="39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4.25">
      <c r="A4" s="39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4.25">
      <c r="A5" s="39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4.25">
      <c r="A6" s="39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4.25">
      <c r="A7" s="39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4.25">
      <c r="A8" s="39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36.75" customHeight="1" thickBot="1">
      <c r="A9" s="39"/>
      <c r="B9" s="38"/>
      <c r="C9" s="46" t="s">
        <v>0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thickTop="1">
      <c r="A10" s="39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0.25">
      <c r="A11" s="39"/>
      <c r="B11" s="38"/>
      <c r="C11" s="38"/>
      <c r="D11" s="38"/>
      <c r="E11" s="38"/>
      <c r="F11" s="38"/>
      <c r="G11" s="38"/>
      <c r="H11" s="44" t="s">
        <v>1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7.5" customHeight="1">
      <c r="A12" s="39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5.75">
      <c r="A13" s="39"/>
      <c r="B13" s="38"/>
      <c r="C13" s="42" t="s">
        <v>2</v>
      </c>
      <c r="D13" s="58" t="s">
        <v>3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4.25">
      <c r="A14" s="39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5.75">
      <c r="A15" s="39"/>
      <c r="B15" s="38"/>
      <c r="C15" s="42" t="s">
        <v>4</v>
      </c>
      <c r="D15" s="43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>
      <c r="A16" s="39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40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5.75">
      <c r="A17" s="39"/>
      <c r="B17" s="38"/>
      <c r="C17" s="42" t="s">
        <v>5</v>
      </c>
      <c r="D17" s="38"/>
      <c r="E17" s="38"/>
      <c r="F17" s="38"/>
      <c r="G17" s="38"/>
      <c r="H17" s="42" t="s">
        <v>6</v>
      </c>
      <c r="I17" s="38"/>
      <c r="J17" s="38"/>
      <c r="K17" s="38"/>
      <c r="L17" s="38"/>
      <c r="M17" s="38"/>
      <c r="N17" s="38"/>
      <c r="O17" s="38"/>
      <c r="P17" s="40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>
      <c r="A18" s="39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40"/>
      <c r="P18" s="40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>
      <c r="A19" s="39"/>
      <c r="B19" s="38"/>
      <c r="C19" s="38"/>
      <c r="D19" s="41" t="s">
        <v>7</v>
      </c>
      <c r="E19" s="41" t="s">
        <v>8</v>
      </c>
      <c r="F19" s="38"/>
      <c r="G19" s="38"/>
      <c r="H19" s="38"/>
      <c r="I19" s="41" t="s">
        <v>7</v>
      </c>
      <c r="J19" s="41" t="s">
        <v>8</v>
      </c>
      <c r="K19" s="38"/>
      <c r="L19" s="38"/>
      <c r="M19" s="38"/>
      <c r="N19" s="38"/>
      <c r="O19" s="38"/>
      <c r="P19" s="40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>
      <c r="A20" s="39"/>
      <c r="B20" s="38"/>
      <c r="C20" s="38"/>
      <c r="D20" s="38">
        <v>-36</v>
      </c>
      <c r="E20" s="38">
        <f t="shared" ref="E20:E26" si="0">ABS(D20)</f>
        <v>36</v>
      </c>
      <c r="F20" s="38"/>
      <c r="G20" s="38"/>
      <c r="H20" s="38"/>
      <c r="I20" s="38">
        <v>-76.989999999999995</v>
      </c>
      <c r="J20" s="38">
        <f t="shared" ref="J20:J26" si="1">ABS(I20)</f>
        <v>76.989999999999995</v>
      </c>
      <c r="K20" s="38"/>
      <c r="L20" s="38"/>
      <c r="M20" s="38"/>
      <c r="N20" s="38"/>
      <c r="O20" s="38"/>
      <c r="P20" s="40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5.75" customHeight="1">
      <c r="A21" s="39"/>
      <c r="B21" s="38"/>
      <c r="C21" s="38"/>
      <c r="D21" s="38">
        <v>720</v>
      </c>
      <c r="E21" s="38">
        <f t="shared" si="0"/>
        <v>720</v>
      </c>
      <c r="F21" s="38"/>
      <c r="G21" s="38"/>
      <c r="H21" s="38"/>
      <c r="I21" s="38">
        <v>89.16</v>
      </c>
      <c r="J21" s="38">
        <f t="shared" si="1"/>
        <v>89.16</v>
      </c>
      <c r="K21" s="38"/>
      <c r="L21" s="38"/>
      <c r="M21" s="38"/>
      <c r="N21" s="38"/>
      <c r="O21" s="38"/>
      <c r="P21" s="40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5.75" customHeight="1">
      <c r="A22" s="39"/>
      <c r="B22" s="38"/>
      <c r="C22" s="38"/>
      <c r="D22" s="38">
        <v>-10</v>
      </c>
      <c r="E22" s="38">
        <f t="shared" si="0"/>
        <v>10</v>
      </c>
      <c r="F22" s="38"/>
      <c r="G22" s="38"/>
      <c r="H22" s="38"/>
      <c r="I22" s="38">
        <v>13</v>
      </c>
      <c r="J22" s="38">
        <f t="shared" si="1"/>
        <v>13</v>
      </c>
      <c r="K22" s="38"/>
      <c r="L22" s="38"/>
      <c r="M22" s="38"/>
      <c r="N22" s="38"/>
      <c r="O22" s="38"/>
      <c r="P22" s="40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5.75" customHeight="1">
      <c r="A23" s="39"/>
      <c r="B23" s="38"/>
      <c r="C23" s="38"/>
      <c r="D23" s="38">
        <v>490</v>
      </c>
      <c r="E23" s="38">
        <f t="shared" si="0"/>
        <v>490</v>
      </c>
      <c r="F23" s="38"/>
      <c r="G23" s="38"/>
      <c r="H23" s="38"/>
      <c r="I23" s="38">
        <v>-300</v>
      </c>
      <c r="J23" s="38">
        <f t="shared" si="1"/>
        <v>300</v>
      </c>
      <c r="K23" s="38"/>
      <c r="L23" s="38"/>
      <c r="M23" s="38"/>
      <c r="N23" s="38"/>
      <c r="O23" s="38"/>
      <c r="P23" s="40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5.75" customHeight="1">
      <c r="A24" s="39"/>
      <c r="B24" s="38"/>
      <c r="C24" s="38"/>
      <c r="D24" s="38">
        <v>-64.289000000000001</v>
      </c>
      <c r="E24" s="38">
        <f t="shared" si="0"/>
        <v>64.289000000000001</v>
      </c>
      <c r="F24" s="38"/>
      <c r="G24" s="38"/>
      <c r="H24" s="38"/>
      <c r="I24" s="38">
        <v>47.23</v>
      </c>
      <c r="J24" s="38">
        <f t="shared" si="1"/>
        <v>47.23</v>
      </c>
      <c r="K24" s="38"/>
      <c r="L24" s="38"/>
      <c r="M24" s="38"/>
      <c r="N24" s="38"/>
      <c r="O24" s="38"/>
      <c r="P24" s="40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5.75" customHeight="1">
      <c r="A25" s="39"/>
      <c r="B25" s="38"/>
      <c r="C25" s="38"/>
      <c r="D25" s="38">
        <v>100</v>
      </c>
      <c r="E25" s="38">
        <f t="shared" si="0"/>
        <v>100</v>
      </c>
      <c r="F25" s="38"/>
      <c r="G25" s="38"/>
      <c r="H25" s="38"/>
      <c r="I25" s="38">
        <v>-59</v>
      </c>
      <c r="J25" s="38">
        <f t="shared" si="1"/>
        <v>59</v>
      </c>
      <c r="K25" s="38"/>
      <c r="L25" s="38"/>
      <c r="M25" s="38"/>
      <c r="N25" s="38"/>
      <c r="O25" s="38"/>
      <c r="P25" s="40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5.75" customHeight="1">
      <c r="A26" s="39"/>
      <c r="B26" s="38"/>
      <c r="C26" s="38"/>
      <c r="D26" s="38">
        <v>-400.17</v>
      </c>
      <c r="E26" s="38">
        <f t="shared" si="0"/>
        <v>400.17</v>
      </c>
      <c r="F26" s="38"/>
      <c r="G26" s="38"/>
      <c r="H26" s="38"/>
      <c r="I26" s="38">
        <v>33</v>
      </c>
      <c r="J26" s="38">
        <f t="shared" si="1"/>
        <v>33</v>
      </c>
      <c r="K26" s="38"/>
      <c r="L26" s="38"/>
      <c r="M26" s="38"/>
      <c r="N26" s="38"/>
      <c r="O26" s="38"/>
      <c r="P26" s="40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5.75" customHeight="1">
      <c r="A27" s="39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40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5.75" customHeight="1">
      <c r="A28" s="39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40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5.75" customHeight="1">
      <c r="A29" s="39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40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5.75" customHeight="1">
      <c r="A30" s="39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40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5.75" customHeight="1">
      <c r="A31" s="39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5.75" customHeight="1">
      <c r="A32" s="39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5.75" customHeight="1">
      <c r="A33" s="39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customHeight="1">
      <c r="A34" s="39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5.75" customHeight="1">
      <c r="A35" s="39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5.75" customHeight="1">
      <c r="A36" s="39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5.75" customHeight="1">
      <c r="A37" s="39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5.75" customHeight="1">
      <c r="A38" s="39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5.75" customHeight="1">
      <c r="A39" s="39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5.75" customHeight="1">
      <c r="A40" s="39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5.75" customHeight="1">
      <c r="A41" s="39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>
      <c r="A42" s="39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75" customHeight="1">
      <c r="A43" s="39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>
      <c r="A44" s="39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.75" customHeight="1">
      <c r="A45" s="39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5.75" customHeight="1">
      <c r="A46" s="39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75" customHeight="1">
      <c r="A47" s="39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75" customHeight="1">
      <c r="A48" s="39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75" customHeight="1">
      <c r="A49" s="39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75" customHeight="1">
      <c r="A50" s="39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5.75" customHeight="1">
      <c r="A51" s="39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75" customHeight="1">
      <c r="A52" s="39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75" customHeight="1">
      <c r="A53" s="39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75" customHeight="1">
      <c r="A54" s="39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75" customHeight="1">
      <c r="A55" s="39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>
      <c r="A56" s="39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>
      <c r="A57" s="39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5.75" customHeight="1">
      <c r="A58" s="39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.75" customHeight="1">
      <c r="A59" s="39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5.75" customHeight="1">
      <c r="A60" s="39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5.75" customHeight="1">
      <c r="A61" s="39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5.75" customHeight="1">
      <c r="A62" s="39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5.75" customHeight="1">
      <c r="A63" s="39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>
      <c r="A64" s="39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5.75" customHeight="1">
      <c r="A65" s="39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5.75" customHeight="1">
      <c r="A66" s="39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>
      <c r="A67" s="39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5.75" customHeight="1">
      <c r="A68" s="39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5.75" customHeight="1">
      <c r="A69" s="39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5.75" customHeight="1">
      <c r="A70" s="39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5.75" customHeight="1">
      <c r="A71" s="39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5.75" customHeight="1">
      <c r="A72" s="39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5.75" customHeight="1">
      <c r="A73" s="39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5.75" customHeight="1">
      <c r="A74" s="39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5.75" customHeight="1">
      <c r="A75" s="39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5.75" customHeight="1">
      <c r="A76" s="39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5.75" customHeight="1">
      <c r="A77" s="39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5.75" customHeight="1">
      <c r="A78" s="39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5.75" customHeight="1">
      <c r="A79" s="39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5.75" customHeight="1">
      <c r="A80" s="39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5.75" customHeight="1">
      <c r="A81" s="39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5.75" customHeight="1">
      <c r="A82" s="39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5.75" customHeight="1">
      <c r="A83" s="39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5.75" customHeight="1">
      <c r="A84" s="39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5.75" customHeight="1">
      <c r="A85" s="39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5.75" customHeight="1">
      <c r="A86" s="39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5.75" customHeight="1">
      <c r="A87" s="39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5.75" customHeight="1">
      <c r="A88" s="39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5.75" customHeight="1">
      <c r="A89" s="39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5.75" customHeight="1">
      <c r="A90" s="39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5.75" customHeight="1">
      <c r="A91" s="39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5.75" customHeight="1">
      <c r="A92" s="39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5.75" customHeight="1">
      <c r="A93" s="39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5.75" customHeight="1">
      <c r="A94" s="39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5.75" customHeight="1">
      <c r="A95" s="39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5.75" customHeight="1">
      <c r="A96" s="39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5.75" customHeight="1">
      <c r="A97" s="39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5.75" customHeight="1">
      <c r="A98" s="39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5.75" customHeight="1">
      <c r="A99" s="39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5.75" customHeight="1">
      <c r="A100" s="39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5.75" customHeight="1">
      <c r="A101" s="39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5.75" customHeight="1">
      <c r="A102" s="39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5.75" customHeight="1">
      <c r="A103" s="39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5.75" customHeight="1">
      <c r="A104" s="39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5.75" customHeight="1">
      <c r="A105" s="39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5.75" customHeight="1">
      <c r="A106" s="39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5.75" customHeight="1">
      <c r="A107" s="39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5.75" customHeight="1">
      <c r="A108" s="39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5.75" customHeight="1">
      <c r="A109" s="39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5.75" customHeight="1">
      <c r="A110" s="39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5.75" customHeight="1">
      <c r="A111" s="39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5.75" customHeight="1">
      <c r="A112" s="39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5.75" customHeight="1">
      <c r="A113" s="39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5.75" customHeight="1">
      <c r="A114" s="39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5.75" customHeight="1">
      <c r="A115" s="39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5.75" customHeight="1">
      <c r="A116" s="39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5.75" customHeight="1">
      <c r="A117" s="39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5.75" customHeight="1">
      <c r="A118" s="39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5.75" customHeight="1">
      <c r="A119" s="39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5.75" customHeight="1">
      <c r="A120" s="39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5.75" customHeight="1">
      <c r="A121" s="39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5.75" customHeight="1">
      <c r="A122" s="39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5.75" customHeight="1">
      <c r="A123" s="39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5.75" customHeight="1">
      <c r="A124" s="39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5.75" customHeight="1">
      <c r="A125" s="39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5.75" customHeight="1">
      <c r="A126" s="39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5.75" customHeight="1">
      <c r="A127" s="39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5.75" customHeight="1">
      <c r="A128" s="39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5.75" customHeight="1">
      <c r="A129" s="39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5.75" customHeight="1">
      <c r="A130" s="39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5.75" customHeight="1">
      <c r="A131" s="39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5.75" customHeight="1">
      <c r="A132" s="39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5.75" customHeight="1">
      <c r="A133" s="39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5.75" customHeight="1">
      <c r="A134" s="39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5.75" customHeight="1">
      <c r="A135" s="39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5.75" customHeight="1">
      <c r="A136" s="39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5.75" customHeight="1">
      <c r="A137" s="39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5.75" customHeight="1">
      <c r="A138" s="39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5.75" customHeight="1">
      <c r="A139" s="39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5.75" customHeight="1">
      <c r="A140" s="39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5.75" customHeight="1">
      <c r="A141" s="39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5.75" customHeight="1">
      <c r="A142" s="39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5.75" customHeight="1">
      <c r="A143" s="39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5.75" customHeight="1">
      <c r="A144" s="39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5.75" customHeight="1">
      <c r="A145" s="39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5.75" customHeight="1">
      <c r="A146" s="39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5.75" customHeight="1">
      <c r="A147" s="39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.75" customHeight="1">
      <c r="A148" s="39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5.75" customHeight="1">
      <c r="A149" s="39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5.75" customHeight="1">
      <c r="A150" s="39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5.75" customHeight="1">
      <c r="A151" s="39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5.75" customHeight="1">
      <c r="A152" s="39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5.75" customHeight="1">
      <c r="A153" s="39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5.75" customHeight="1">
      <c r="A154" s="39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5.75" customHeight="1">
      <c r="A155" s="39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5.75" customHeight="1">
      <c r="A156" s="39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5.75" customHeight="1">
      <c r="A157" s="39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5.75" customHeight="1">
      <c r="A158" s="39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5.75" customHeight="1">
      <c r="A159" s="39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5.75" customHeight="1">
      <c r="A160" s="39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5.75" customHeight="1">
      <c r="A161" s="39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5.75" customHeight="1">
      <c r="A162" s="39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5.75" customHeight="1">
      <c r="A163" s="39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5.75" customHeight="1">
      <c r="A164" s="39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5.75" customHeight="1">
      <c r="A165" s="39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5.75" customHeight="1">
      <c r="A166" s="39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5.75" customHeight="1">
      <c r="A167" s="39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5.75" customHeight="1">
      <c r="A168" s="39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5.75" customHeight="1">
      <c r="A169" s="39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5.75" customHeight="1">
      <c r="A170" s="39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5.75" customHeight="1">
      <c r="A171" s="39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5.75" customHeight="1">
      <c r="A172" s="39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5.75" customHeight="1">
      <c r="A173" s="39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5.75" customHeight="1">
      <c r="A174" s="39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5.75" customHeight="1">
      <c r="A175" s="39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5.75" customHeight="1">
      <c r="A176" s="39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5.75" customHeight="1">
      <c r="A177" s="39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5.75" customHeight="1">
      <c r="A178" s="39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>
      <c r="A179" s="39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5.75" customHeight="1">
      <c r="A180" s="39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5.75" customHeight="1">
      <c r="A181" s="39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5.75" customHeight="1">
      <c r="A182" s="39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5.75" customHeight="1">
      <c r="A183" s="39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5.75" customHeight="1">
      <c r="A184" s="39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5.75" customHeight="1">
      <c r="A185" s="39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5.75" customHeight="1">
      <c r="A186" s="39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5.75" customHeight="1">
      <c r="A187" s="39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5.75" customHeight="1">
      <c r="A188" s="39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5.75" customHeight="1">
      <c r="A189" s="39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5.75" customHeight="1">
      <c r="A190" s="39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5.75" customHeight="1">
      <c r="A191" s="39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5.75" customHeight="1">
      <c r="A192" s="39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5.75" customHeight="1">
      <c r="A193" s="39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5.75" customHeight="1">
      <c r="A194" s="39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5.75" customHeight="1">
      <c r="A195" s="39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5.75" customHeight="1">
      <c r="A196" s="39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5.75" customHeight="1">
      <c r="A197" s="39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5.75" customHeight="1">
      <c r="A198" s="39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5.75" customHeight="1">
      <c r="A199" s="39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5.75" customHeight="1">
      <c r="A200" s="39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5.75" customHeight="1">
      <c r="A201" s="39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5.75" customHeight="1">
      <c r="A202" s="39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5.75" customHeight="1">
      <c r="A203" s="39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5.75" customHeight="1">
      <c r="A204" s="39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5.75" customHeight="1">
      <c r="A205" s="39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5.75" customHeight="1">
      <c r="A206" s="39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5.75" customHeight="1">
      <c r="A207" s="39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5.75" customHeight="1">
      <c r="A208" s="39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5.75" customHeight="1">
      <c r="A209" s="39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5.75" customHeight="1">
      <c r="A210" s="39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5.75" customHeight="1">
      <c r="A211" s="39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5.75" customHeight="1">
      <c r="A212" s="39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5.75" customHeight="1">
      <c r="A213" s="39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5.75" customHeight="1">
      <c r="A214" s="39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5.75" customHeight="1">
      <c r="A215" s="39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5.75" customHeight="1">
      <c r="A216" s="39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5.75" customHeight="1">
      <c r="A217" s="39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5.75" customHeight="1">
      <c r="A218" s="39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5.75" customHeight="1">
      <c r="A219" s="39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5.75" customHeight="1">
      <c r="A220" s="39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5.75" customHeight="1">
      <c r="A221" s="39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5.75" customHeight="1">
      <c r="A222" s="39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5.75" customHeight="1">
      <c r="A223" s="39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5.75" customHeight="1">
      <c r="A224" s="39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5.75" customHeight="1">
      <c r="A225" s="39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5.75" customHeight="1">
      <c r="A226" s="39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5.75" customHeight="1">
      <c r="A227" s="39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5.75" customHeight="1">
      <c r="A228" s="39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5.75" customHeight="1">
      <c r="A229" s="39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5.75" customHeight="1">
      <c r="A230" s="39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5.75" customHeight="1">
      <c r="A231" s="39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>
      <c r="A232" s="39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5.75" customHeight="1">
      <c r="A233" s="39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5.75" customHeight="1">
      <c r="A234" s="39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5.75" customHeight="1">
      <c r="A235" s="39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5.75" customHeight="1">
      <c r="A236" s="39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5.75" customHeight="1">
      <c r="A237" s="39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5.75" customHeight="1">
      <c r="A238" s="39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5.75" customHeight="1">
      <c r="A239" s="39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5.75" customHeight="1">
      <c r="A240" s="39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5.75" customHeight="1">
      <c r="A241" s="39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5.75" customHeight="1">
      <c r="A242" s="39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5.75" customHeight="1">
      <c r="A243" s="39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5.75" customHeight="1">
      <c r="A244" s="39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5.75" customHeight="1">
      <c r="A245" s="39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5.75" customHeight="1">
      <c r="A246" s="39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5.75" customHeight="1">
      <c r="A247" s="39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5.75" customHeight="1">
      <c r="A248" s="39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5.75" customHeight="1">
      <c r="A249" s="39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5.75" customHeight="1">
      <c r="A250" s="39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>
      <c r="A251" s="39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5.75" customHeight="1">
      <c r="A252" s="39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5.75" customHeight="1">
      <c r="A253" s="39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5.75" customHeight="1">
      <c r="A254" s="39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5.75" customHeight="1">
      <c r="A255" s="39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5.75" customHeight="1">
      <c r="A256" s="39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5.75" customHeight="1">
      <c r="A257" s="39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5.75" customHeight="1">
      <c r="A258" s="39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5.75" customHeight="1">
      <c r="A259" s="39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5.75" customHeight="1">
      <c r="A260" s="39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5.75" customHeight="1">
      <c r="A261" s="39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5.75" customHeight="1">
      <c r="A262" s="39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5.75" customHeight="1">
      <c r="A263" s="39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5.75" customHeight="1">
      <c r="A264" s="39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5.75" customHeight="1">
      <c r="A265" s="39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5.75" customHeight="1">
      <c r="A266" s="39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5.75" customHeight="1">
      <c r="A267" s="39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5.75" customHeight="1">
      <c r="A268" s="39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5.75" customHeight="1">
      <c r="A269" s="39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5.75" customHeight="1">
      <c r="A270" s="39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5.75" customHeight="1">
      <c r="A271" s="39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5.75" customHeight="1">
      <c r="A272" s="39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5.75" customHeight="1">
      <c r="A273" s="39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5.75" customHeight="1">
      <c r="A274" s="39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5.75" customHeight="1">
      <c r="A275" s="39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5.75" customHeight="1">
      <c r="A276" s="39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5.75" customHeight="1">
      <c r="A277" s="39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5.75" customHeight="1">
      <c r="A278" s="39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5.75" customHeight="1">
      <c r="A279" s="39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5.75" customHeight="1">
      <c r="A280" s="39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5.75" customHeight="1">
      <c r="A281" s="39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5.75" customHeight="1">
      <c r="A282" s="39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5.75" customHeight="1">
      <c r="A283" s="39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5.75" customHeight="1">
      <c r="A284" s="39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5.75" customHeight="1">
      <c r="A285" s="39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5.75" customHeight="1">
      <c r="A286" s="39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5.75" customHeight="1">
      <c r="A287" s="39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5.75" customHeight="1">
      <c r="A288" s="39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5.75" customHeight="1">
      <c r="A289" s="39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5.75" customHeight="1">
      <c r="A290" s="39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5.75" customHeight="1">
      <c r="A291" s="39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5.75" customHeight="1">
      <c r="A292" s="39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5.75" customHeight="1">
      <c r="A293" s="39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5.75" customHeight="1">
      <c r="A294" s="39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5.75" customHeight="1">
      <c r="A295" s="39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5.75" customHeight="1">
      <c r="A296" s="39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5.75" customHeight="1">
      <c r="A297" s="39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5.75" customHeight="1">
      <c r="A298" s="39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5.75" customHeight="1">
      <c r="A299" s="39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5.75" customHeight="1">
      <c r="A300" s="39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5.75" customHeight="1">
      <c r="A301" s="39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5.75" customHeight="1">
      <c r="A302" s="39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5.75" customHeight="1">
      <c r="A303" s="39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5.75" customHeight="1">
      <c r="A304" s="39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5.75" customHeight="1">
      <c r="A305" s="39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5.75" customHeight="1">
      <c r="A306" s="39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5.75" customHeight="1">
      <c r="A307" s="39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5.75" customHeight="1">
      <c r="A308" s="39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5.75" customHeight="1">
      <c r="A309" s="39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5.75" customHeight="1">
      <c r="A310" s="39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5.75" customHeight="1">
      <c r="A311" s="39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5.75" customHeight="1">
      <c r="A312" s="39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5.75" customHeight="1">
      <c r="A313" s="39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5.75" customHeight="1">
      <c r="A314" s="39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5.75" customHeight="1">
      <c r="A315" s="39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5.75" customHeight="1">
      <c r="A316" s="39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5.75" customHeight="1">
      <c r="A317" s="39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5.75" customHeight="1">
      <c r="A318" s="39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5.75" customHeight="1">
      <c r="A319" s="39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5.75" customHeight="1">
      <c r="A320" s="39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5.75" customHeight="1">
      <c r="A321" s="39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5.75" customHeight="1">
      <c r="A322" s="39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5.75" customHeight="1">
      <c r="A323" s="39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5.75" customHeight="1">
      <c r="A324" s="39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5.75" customHeight="1">
      <c r="A325" s="39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5.75" customHeight="1">
      <c r="A326" s="39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5.75" customHeight="1">
      <c r="A327" s="39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5.75" customHeight="1">
      <c r="A328" s="39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5.75" customHeight="1">
      <c r="A329" s="39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5.75" customHeight="1">
      <c r="A330" s="39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5.75" customHeight="1">
      <c r="A331" s="39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5.75" customHeight="1">
      <c r="A332" s="39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5.75" customHeight="1">
      <c r="A333" s="39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5.75" customHeight="1">
      <c r="A334" s="39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5.75" customHeight="1">
      <c r="A335" s="39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5.75" customHeight="1">
      <c r="A336" s="39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5.75" customHeight="1">
      <c r="A337" s="39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5.75" customHeight="1">
      <c r="A338" s="39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5.75" customHeight="1">
      <c r="A339" s="39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5.75" customHeight="1">
      <c r="A340" s="39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5.75" customHeight="1">
      <c r="A341" s="39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5.75" customHeight="1">
      <c r="A342" s="39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5.75" customHeight="1">
      <c r="A343" s="39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5.75" customHeight="1">
      <c r="A344" s="39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5.75" customHeight="1">
      <c r="A345" s="39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5.75" customHeight="1">
      <c r="A346" s="39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5.75" customHeight="1">
      <c r="A347" s="39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5.75" customHeight="1">
      <c r="A348" s="39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5.75" customHeight="1">
      <c r="A349" s="39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5.75" customHeight="1">
      <c r="A350" s="39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5.75" customHeight="1">
      <c r="A351" s="39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5.75" customHeight="1">
      <c r="A352" s="39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5.75" customHeight="1">
      <c r="A353" s="39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5.75" customHeight="1">
      <c r="A354" s="39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5.75" customHeight="1">
      <c r="A355" s="39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5.75" customHeight="1">
      <c r="A356" s="39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5.75" customHeight="1">
      <c r="A357" s="39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5.75" customHeight="1">
      <c r="A358" s="39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5.75" customHeight="1">
      <c r="A359" s="39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5.75" customHeight="1">
      <c r="A360" s="39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5.75" customHeight="1">
      <c r="A361" s="39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5.75" customHeight="1">
      <c r="A362" s="39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5.75" customHeight="1">
      <c r="A363" s="39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5.75" customHeight="1">
      <c r="A364" s="39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5.75" customHeight="1">
      <c r="A365" s="39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5.75" customHeight="1">
      <c r="A366" s="39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5.75" customHeight="1">
      <c r="A367" s="39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5.75" customHeight="1">
      <c r="A368" s="39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5.75" customHeight="1">
      <c r="A369" s="39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5.75" customHeight="1">
      <c r="A370" s="39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5.75" customHeight="1">
      <c r="A371" s="39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5.75" customHeight="1">
      <c r="A372" s="39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5.75" customHeight="1">
      <c r="A373" s="39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5.75" customHeight="1">
      <c r="A374" s="39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5.75" customHeight="1">
      <c r="A375" s="39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5.75" customHeight="1">
      <c r="A376" s="39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5.75" customHeight="1">
      <c r="A377" s="39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5.75" customHeight="1">
      <c r="A378" s="39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5.75" customHeight="1">
      <c r="A379" s="39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5.75" customHeight="1">
      <c r="A380" s="39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5.75" customHeight="1">
      <c r="A381" s="39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5.75" customHeight="1">
      <c r="A382" s="39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5.75" customHeight="1">
      <c r="A383" s="39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5.75" customHeight="1">
      <c r="A384" s="39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5.75" customHeight="1">
      <c r="A385" s="39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5.75" customHeight="1">
      <c r="A386" s="39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5.75" customHeight="1">
      <c r="A387" s="39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5.75" customHeight="1">
      <c r="A388" s="39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5.75" customHeight="1">
      <c r="A389" s="39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5.75" customHeight="1">
      <c r="A390" s="39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5.75" customHeight="1">
      <c r="A391" s="39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5.75" customHeight="1">
      <c r="A392" s="39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5.75" customHeight="1">
      <c r="A393" s="39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5.75" customHeight="1">
      <c r="A394" s="39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5.75" customHeight="1">
      <c r="A395" s="39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5.75" customHeight="1">
      <c r="A396" s="39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5.75" customHeight="1">
      <c r="A397" s="39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5.75" customHeight="1">
      <c r="A398" s="39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5.75" customHeight="1">
      <c r="A399" s="39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5.75" customHeight="1">
      <c r="A400" s="39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5.75" customHeight="1">
      <c r="A401" s="39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5.75" customHeight="1">
      <c r="A402" s="39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5.75" customHeight="1">
      <c r="A403" s="39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5.75" customHeight="1">
      <c r="A404" s="39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5.75" customHeight="1">
      <c r="A405" s="39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5.75" customHeight="1">
      <c r="A406" s="39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5.75" customHeight="1">
      <c r="A407" s="39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5.75" customHeight="1">
      <c r="A408" s="39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5.75" customHeight="1">
      <c r="A409" s="39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5.75" customHeight="1">
      <c r="A410" s="39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5.75" customHeight="1">
      <c r="A411" s="39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5.75" customHeight="1">
      <c r="A412" s="39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5.75" customHeight="1">
      <c r="A413" s="39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5.75" customHeight="1">
      <c r="A414" s="39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5.75" customHeight="1">
      <c r="A415" s="39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5.75" customHeight="1">
      <c r="A416" s="39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5.75" customHeight="1">
      <c r="A417" s="39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5.75" customHeight="1">
      <c r="A418" s="39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5.75" customHeight="1">
      <c r="A419" s="39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5.75" customHeight="1">
      <c r="A420" s="39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5.75" customHeight="1">
      <c r="A421" s="39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5.75" customHeight="1">
      <c r="A422" s="39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5.75" customHeight="1">
      <c r="A423" s="39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5.75" customHeight="1">
      <c r="A424" s="39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5.75" customHeight="1">
      <c r="A425" s="39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5.75" customHeight="1">
      <c r="A426" s="39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5.75" customHeight="1">
      <c r="A427" s="39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5.75" customHeight="1">
      <c r="A428" s="39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5.75" customHeight="1">
      <c r="A429" s="39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5.75" customHeight="1">
      <c r="A430" s="39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5.75" customHeight="1">
      <c r="A431" s="39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5.75" customHeight="1">
      <c r="A432" s="39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5.75" customHeight="1">
      <c r="A433" s="39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5.75" customHeight="1">
      <c r="A434" s="39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5.75" customHeight="1">
      <c r="A435" s="39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5.75" customHeight="1">
      <c r="A436" s="39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5.75" customHeight="1">
      <c r="A437" s="39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5.75" customHeight="1">
      <c r="A438" s="39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5.75" customHeight="1">
      <c r="A439" s="39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5.75" customHeight="1">
      <c r="A440" s="39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5.75" customHeight="1">
      <c r="A441" s="39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5.75" customHeight="1">
      <c r="A442" s="39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5.75" customHeight="1">
      <c r="A443" s="39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5.75" customHeight="1">
      <c r="A444" s="39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5.75" customHeight="1">
      <c r="A445" s="39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5.75" customHeight="1">
      <c r="A446" s="39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5.75" customHeight="1">
      <c r="A447" s="39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5.75" customHeight="1">
      <c r="A448" s="39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5.75" customHeight="1">
      <c r="A449" s="39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5.75" customHeight="1">
      <c r="A450" s="39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5.75" customHeight="1">
      <c r="A451" s="39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5.75" customHeight="1">
      <c r="A452" s="39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5.75" customHeight="1">
      <c r="A453" s="39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5.75" customHeight="1">
      <c r="A454" s="39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5.75" customHeight="1">
      <c r="A455" s="39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5.75" customHeight="1">
      <c r="A456" s="39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5.75" customHeight="1">
      <c r="A457" s="39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5.75" customHeight="1">
      <c r="A458" s="39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5.75" customHeight="1">
      <c r="A459" s="39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5.75" customHeight="1">
      <c r="A460" s="39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5.75" customHeight="1">
      <c r="A461" s="39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5.75" customHeight="1">
      <c r="A462" s="39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5.75" customHeight="1">
      <c r="A463" s="39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5.75" customHeight="1">
      <c r="A464" s="39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5.75" customHeight="1">
      <c r="A465" s="39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5.75" customHeight="1">
      <c r="A466" s="39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5.75" customHeight="1">
      <c r="A467" s="39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5.75" customHeight="1">
      <c r="A468" s="39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5.75" customHeight="1">
      <c r="A469" s="39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5.75" customHeight="1">
      <c r="A470" s="39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5.75" customHeight="1">
      <c r="A471" s="39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5.75" customHeight="1">
      <c r="A472" s="39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5.75" customHeight="1">
      <c r="A473" s="39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5.75" customHeight="1">
      <c r="A474" s="39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5.75" customHeight="1">
      <c r="A475" s="39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5.75" customHeight="1">
      <c r="A476" s="39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5.75" customHeight="1">
      <c r="A477" s="39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5.75" customHeight="1">
      <c r="A478" s="39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5.75" customHeight="1">
      <c r="A479" s="39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5.75" customHeight="1">
      <c r="A480" s="39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5.75" customHeight="1">
      <c r="A481" s="39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5.75" customHeight="1">
      <c r="A482" s="39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5.75" customHeight="1">
      <c r="A483" s="39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5.75" customHeight="1">
      <c r="A484" s="39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5.75" customHeight="1">
      <c r="A485" s="39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5.75" customHeight="1">
      <c r="A486" s="39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5.75" customHeight="1">
      <c r="A487" s="39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5.75" customHeight="1">
      <c r="A488" s="39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5.75" customHeight="1">
      <c r="A489" s="39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5.75" customHeight="1">
      <c r="A490" s="39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5.75" customHeight="1">
      <c r="A491" s="39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5.75" customHeight="1">
      <c r="A492" s="39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5.75" customHeight="1">
      <c r="A493" s="39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5.75" customHeight="1">
      <c r="A494" s="39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5.75" customHeight="1">
      <c r="A495" s="39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5.75" customHeight="1">
      <c r="A496" s="39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5.75" customHeight="1">
      <c r="A497" s="39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5.75" customHeight="1">
      <c r="A498" s="39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5.75" customHeight="1">
      <c r="A499" s="39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5.75" customHeight="1">
      <c r="A500" s="39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5.75" customHeight="1">
      <c r="A501" s="39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5.75" customHeight="1">
      <c r="A502" s="39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5.75" customHeight="1">
      <c r="A503" s="39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5.75" customHeight="1">
      <c r="A504" s="39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5.75" customHeight="1">
      <c r="A505" s="39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5.75" customHeight="1">
      <c r="A506" s="39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5.75" customHeight="1">
      <c r="A507" s="39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5.75" customHeight="1">
      <c r="A508" s="39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5.75" customHeight="1">
      <c r="A509" s="39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5.75" customHeight="1">
      <c r="A510" s="39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5.75" customHeight="1">
      <c r="A511" s="39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5.75" customHeight="1">
      <c r="A512" s="39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5.75" customHeight="1">
      <c r="A513" s="39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5.75" customHeight="1">
      <c r="A514" s="39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5.75" customHeight="1">
      <c r="A515" s="39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5.75" customHeight="1">
      <c r="A516" s="39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5.75" customHeight="1">
      <c r="A517" s="39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5.75" customHeight="1">
      <c r="A518" s="39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5.75" customHeight="1">
      <c r="A519" s="39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5.75" customHeight="1">
      <c r="A520" s="39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5.75" customHeight="1">
      <c r="A521" s="39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5.75" customHeight="1">
      <c r="A522" s="39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5.75" customHeight="1">
      <c r="A523" s="39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5.75" customHeight="1">
      <c r="A524" s="39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5.75" customHeight="1">
      <c r="A525" s="39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5.75" customHeight="1">
      <c r="A526" s="39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5.75" customHeight="1">
      <c r="A527" s="39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5.75" customHeight="1">
      <c r="A528" s="39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5.75" customHeight="1">
      <c r="A529" s="39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5.75" customHeight="1">
      <c r="A530" s="39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5.75" customHeight="1">
      <c r="A531" s="39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5.75" customHeight="1">
      <c r="A532" s="39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5.75" customHeight="1">
      <c r="A533" s="39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5.75" customHeight="1">
      <c r="A534" s="39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5.75" customHeight="1">
      <c r="A535" s="39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5.75" customHeight="1">
      <c r="A536" s="39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5.75" customHeight="1">
      <c r="A537" s="39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5.75" customHeight="1">
      <c r="A538" s="39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5.75" customHeight="1">
      <c r="A539" s="39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5.75" customHeight="1">
      <c r="A540" s="39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5.75" customHeight="1">
      <c r="A541" s="39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5.75" customHeight="1">
      <c r="A542" s="39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5.75" customHeight="1">
      <c r="A543" s="39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5.75" customHeight="1">
      <c r="A544" s="39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5.75" customHeight="1">
      <c r="A545" s="39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5.75" customHeight="1">
      <c r="A546" s="39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5.75" customHeight="1">
      <c r="A547" s="39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5.75" customHeight="1">
      <c r="A548" s="39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5.75" customHeight="1">
      <c r="A549" s="39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5.75" customHeight="1">
      <c r="A550" s="39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5.75" customHeight="1">
      <c r="A551" s="39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5.75" customHeight="1">
      <c r="A552" s="39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5.75" customHeight="1">
      <c r="A553" s="39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5.75" customHeight="1">
      <c r="A554" s="39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5.75" customHeight="1">
      <c r="A555" s="39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5.75" customHeight="1">
      <c r="A556" s="39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5.75" customHeight="1">
      <c r="A557" s="39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5.75" customHeight="1">
      <c r="A558" s="39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5.75" customHeight="1">
      <c r="A559" s="39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5.75" customHeight="1">
      <c r="A560" s="39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5.75" customHeight="1">
      <c r="A561" s="39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5.75" customHeight="1">
      <c r="A562" s="39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5.75" customHeight="1">
      <c r="A563" s="39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5.75" customHeight="1">
      <c r="A564" s="39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5.75" customHeight="1">
      <c r="A565" s="39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5.75" customHeight="1">
      <c r="A566" s="39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5.75" customHeight="1">
      <c r="A567" s="39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5.75" customHeight="1">
      <c r="A568" s="39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5.75" customHeight="1">
      <c r="A569" s="39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5.75" customHeight="1">
      <c r="A570" s="39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5.75" customHeight="1">
      <c r="A571" s="39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5.75" customHeight="1">
      <c r="A572" s="39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5.75" customHeight="1">
      <c r="A573" s="39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5.75" customHeight="1">
      <c r="A574" s="39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5.75" customHeight="1">
      <c r="A575" s="39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5.75" customHeight="1">
      <c r="A576" s="39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5.75" customHeight="1">
      <c r="A577" s="39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5.75" customHeight="1">
      <c r="A578" s="39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5.75" customHeight="1">
      <c r="A579" s="39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5.75" customHeight="1">
      <c r="A580" s="39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5.75" customHeight="1">
      <c r="A581" s="39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5.75" customHeight="1">
      <c r="A582" s="39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5.75" customHeight="1">
      <c r="A583" s="39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5.75" customHeight="1">
      <c r="A584" s="39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5.75" customHeight="1">
      <c r="A585" s="39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5.75" customHeight="1">
      <c r="A586" s="39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5.75" customHeight="1">
      <c r="A587" s="39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5.75" customHeight="1">
      <c r="A588" s="39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5.75" customHeight="1">
      <c r="A589" s="39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5.75" customHeight="1">
      <c r="A590" s="39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5.75" customHeight="1">
      <c r="A591" s="39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5.75" customHeight="1">
      <c r="A592" s="39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5.75" customHeight="1">
      <c r="A593" s="39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5.75" customHeight="1">
      <c r="A594" s="39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5.75" customHeight="1">
      <c r="A595" s="39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5.75" customHeight="1">
      <c r="A596" s="39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5.75" customHeight="1">
      <c r="A597" s="39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5.75" customHeight="1">
      <c r="A598" s="39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5.75" customHeight="1">
      <c r="A599" s="39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5.75" customHeight="1">
      <c r="A600" s="39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5.75" customHeight="1">
      <c r="A601" s="39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5.75" customHeight="1">
      <c r="A602" s="39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5.75" customHeight="1">
      <c r="A603" s="39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5.75" customHeight="1">
      <c r="A604" s="39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5.75" customHeight="1">
      <c r="A605" s="39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5.75" customHeight="1">
      <c r="A606" s="39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5.75" customHeight="1">
      <c r="A607" s="39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5.75" customHeight="1">
      <c r="A608" s="39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5.75" customHeight="1">
      <c r="A609" s="39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5.75" customHeight="1">
      <c r="A610" s="39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5.75" customHeight="1">
      <c r="A611" s="39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5.75" customHeight="1">
      <c r="A612" s="39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5.75" customHeight="1">
      <c r="A613" s="39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5.75" customHeight="1">
      <c r="A614" s="39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5.75" customHeight="1">
      <c r="A615" s="39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5.75" customHeight="1">
      <c r="A616" s="39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5.75" customHeight="1">
      <c r="A617" s="39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5.75" customHeight="1">
      <c r="A618" s="39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5.75" customHeight="1">
      <c r="A619" s="39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5.75" customHeight="1">
      <c r="A620" s="39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5.75" customHeight="1">
      <c r="A621" s="39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5.75" customHeight="1">
      <c r="A622" s="39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5.75" customHeight="1">
      <c r="A623" s="39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5.75" customHeight="1">
      <c r="A624" s="39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5.75" customHeight="1">
      <c r="A625" s="39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5.75" customHeight="1">
      <c r="A626" s="39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5.75" customHeight="1">
      <c r="A627" s="39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5.75" customHeight="1">
      <c r="A628" s="39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5.75" customHeight="1">
      <c r="A629" s="39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5.75" customHeight="1">
      <c r="A630" s="39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5.75" customHeight="1">
      <c r="A631" s="39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5.75" customHeight="1">
      <c r="A632" s="39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5.75" customHeight="1">
      <c r="A633" s="39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5.75" customHeight="1">
      <c r="A634" s="39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5.75" customHeight="1">
      <c r="A635" s="39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5.75" customHeight="1">
      <c r="A636" s="39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5.75" customHeight="1">
      <c r="A637" s="39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5.75" customHeight="1">
      <c r="A638" s="39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5.75" customHeight="1">
      <c r="A639" s="39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5.75" customHeight="1">
      <c r="A640" s="39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5.75" customHeight="1">
      <c r="A641" s="39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5.75" customHeight="1">
      <c r="A642" s="39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5.75" customHeight="1">
      <c r="A643" s="39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5.75" customHeight="1">
      <c r="A644" s="39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5.75" customHeight="1">
      <c r="A645" s="39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5.75" customHeight="1">
      <c r="A646" s="39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5.75" customHeight="1">
      <c r="A647" s="39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5.75" customHeight="1">
      <c r="A648" s="39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5.75" customHeight="1">
      <c r="A649" s="39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5.75" customHeight="1">
      <c r="A650" s="39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5.75" customHeight="1">
      <c r="A651" s="39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5.75" customHeight="1">
      <c r="A652" s="39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5.75" customHeight="1">
      <c r="A653" s="39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5.75" customHeight="1">
      <c r="A654" s="39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5.75" customHeight="1">
      <c r="A655" s="39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5.75" customHeight="1">
      <c r="A656" s="39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5.75" customHeight="1">
      <c r="A657" s="39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5.75" customHeight="1">
      <c r="A658" s="39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5.75" customHeight="1">
      <c r="A659" s="39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5.75" customHeight="1">
      <c r="A660" s="39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5.75" customHeight="1">
      <c r="A661" s="39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5.75" customHeight="1">
      <c r="A662" s="39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5.75" customHeight="1">
      <c r="A663" s="39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5.75" customHeight="1">
      <c r="A664" s="39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5.75" customHeight="1">
      <c r="A665" s="39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5.75" customHeight="1">
      <c r="A666" s="39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5.75" customHeight="1">
      <c r="A667" s="39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5.75" customHeight="1">
      <c r="A668" s="39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5.75" customHeight="1">
      <c r="A669" s="39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5.75" customHeight="1">
      <c r="A670" s="39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5.75" customHeight="1">
      <c r="A671" s="39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5.75" customHeight="1">
      <c r="A672" s="39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5.75" customHeight="1">
      <c r="A673" s="39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5.75" customHeight="1">
      <c r="A674" s="39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5.75" customHeight="1">
      <c r="A675" s="39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5.75" customHeight="1">
      <c r="A676" s="39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5.75" customHeight="1">
      <c r="A677" s="39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5.75" customHeight="1">
      <c r="A678" s="39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5.75" customHeight="1">
      <c r="A679" s="39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5.75" customHeight="1">
      <c r="A680" s="39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5.75" customHeight="1">
      <c r="A681" s="39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5.75" customHeight="1">
      <c r="A682" s="39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5.75" customHeight="1">
      <c r="A683" s="39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5.75" customHeight="1">
      <c r="A684" s="39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5.75" customHeight="1">
      <c r="A685" s="39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5.75" customHeight="1">
      <c r="A686" s="39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5.75" customHeight="1">
      <c r="A687" s="39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5.75" customHeight="1">
      <c r="A688" s="39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5.75" customHeight="1">
      <c r="A689" s="39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5.75" customHeight="1">
      <c r="A690" s="39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5.75" customHeight="1">
      <c r="A691" s="39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5.75" customHeight="1">
      <c r="A692" s="39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5.75" customHeight="1">
      <c r="A693" s="39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5.75" customHeight="1">
      <c r="A694" s="39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5.75" customHeight="1">
      <c r="A695" s="39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5.75" customHeight="1">
      <c r="A696" s="39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5.75" customHeight="1">
      <c r="A697" s="39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5.75" customHeight="1">
      <c r="A698" s="39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5.75" customHeight="1">
      <c r="A699" s="39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5.75" customHeight="1">
      <c r="A700" s="39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5.75" customHeight="1">
      <c r="A701" s="39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5.75" customHeight="1">
      <c r="A702" s="39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5.75" customHeight="1">
      <c r="A703" s="39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5.75" customHeight="1">
      <c r="A704" s="39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5.75" customHeight="1">
      <c r="A705" s="39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5.75" customHeight="1">
      <c r="A706" s="39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5.75" customHeight="1">
      <c r="A707" s="39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5.75" customHeight="1">
      <c r="A708" s="39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5.75" customHeight="1">
      <c r="A709" s="39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5.75" customHeight="1">
      <c r="A710" s="39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5.75" customHeight="1">
      <c r="A711" s="39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5.75" customHeight="1">
      <c r="A712" s="39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5.75" customHeight="1">
      <c r="A713" s="39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5.75" customHeight="1">
      <c r="A714" s="39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5.75" customHeight="1">
      <c r="A715" s="39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5.75" customHeight="1">
      <c r="A716" s="39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5.75" customHeight="1">
      <c r="A717" s="39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5.75" customHeight="1">
      <c r="A718" s="39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5.75" customHeight="1">
      <c r="A719" s="39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5.75" customHeight="1">
      <c r="A720" s="39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5.75" customHeight="1">
      <c r="A721" s="39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5.75" customHeight="1">
      <c r="A722" s="39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5.75" customHeight="1">
      <c r="A723" s="39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5.75" customHeight="1">
      <c r="A724" s="39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5.75" customHeight="1">
      <c r="A725" s="39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5.75" customHeight="1">
      <c r="A726" s="39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5.75" customHeight="1">
      <c r="A727" s="39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5.75" customHeight="1">
      <c r="A728" s="39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5.75" customHeight="1">
      <c r="A729" s="39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5.75" customHeight="1">
      <c r="A730" s="39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5.75" customHeight="1">
      <c r="A731" s="39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5.75" customHeight="1">
      <c r="A732" s="39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5.75" customHeight="1">
      <c r="A733" s="39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5.75" customHeight="1">
      <c r="A734" s="39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5.75" customHeight="1">
      <c r="A735" s="39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5.75" customHeight="1">
      <c r="A736" s="39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5.75" customHeight="1">
      <c r="A737" s="39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5.75" customHeight="1">
      <c r="A738" s="39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5.75" customHeight="1">
      <c r="A739" s="39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5.75" customHeight="1">
      <c r="A740" s="39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5.75" customHeight="1">
      <c r="A741" s="39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5.75" customHeight="1">
      <c r="A742" s="39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5.75" customHeight="1">
      <c r="A743" s="39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5.75" customHeight="1">
      <c r="A744" s="39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5.75" customHeight="1">
      <c r="A745" s="39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5.75" customHeight="1">
      <c r="A746" s="39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5.75" customHeight="1">
      <c r="A747" s="39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5.75" customHeight="1">
      <c r="A748" s="39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5.75" customHeight="1">
      <c r="A749" s="39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5.75" customHeight="1">
      <c r="A750" s="39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5.75" customHeight="1">
      <c r="A751" s="39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5.75" customHeight="1">
      <c r="A752" s="39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5.75" customHeight="1">
      <c r="A753" s="39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5.75" customHeight="1">
      <c r="A754" s="39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5.75" customHeight="1">
      <c r="A755" s="39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5.75" customHeight="1">
      <c r="A756" s="39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5.75" customHeight="1">
      <c r="A757" s="39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5.75" customHeight="1">
      <c r="A758" s="39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5.75" customHeight="1">
      <c r="A759" s="39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5.75" customHeight="1">
      <c r="A760" s="39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5.75" customHeight="1">
      <c r="A761" s="39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5.75" customHeight="1">
      <c r="A762" s="39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5.75" customHeight="1">
      <c r="A763" s="39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5.75" customHeight="1">
      <c r="A764" s="39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5.75" customHeight="1">
      <c r="A765" s="39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5.75" customHeight="1">
      <c r="A766" s="39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5.75" customHeight="1">
      <c r="A767" s="39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5.75" customHeight="1">
      <c r="A768" s="39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5.75" customHeight="1">
      <c r="A769" s="39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5.75" customHeight="1">
      <c r="A770" s="39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5.75" customHeight="1">
      <c r="A771" s="39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5.75" customHeight="1">
      <c r="A772" s="39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5.75" customHeight="1">
      <c r="A773" s="39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5.75" customHeight="1">
      <c r="A774" s="39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5.75" customHeight="1">
      <c r="A775" s="39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5.75" customHeight="1">
      <c r="A776" s="39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5.75" customHeight="1">
      <c r="A777" s="39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5.75" customHeight="1">
      <c r="A778" s="39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5.75" customHeight="1">
      <c r="A779" s="39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5.75" customHeight="1">
      <c r="A780" s="39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5.75" customHeight="1">
      <c r="A781" s="39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5.75" customHeight="1">
      <c r="A782" s="39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5.75" customHeight="1">
      <c r="A783" s="39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5.75" customHeight="1">
      <c r="A784" s="39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5.75" customHeight="1">
      <c r="A785" s="39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5.75" customHeight="1">
      <c r="A786" s="39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5.75" customHeight="1">
      <c r="A787" s="39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5.75" customHeight="1">
      <c r="A788" s="39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5.75" customHeight="1">
      <c r="A789" s="39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5.75" customHeight="1">
      <c r="A790" s="39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5.75" customHeight="1">
      <c r="A791" s="39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5.75" customHeight="1">
      <c r="A792" s="39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5.75" customHeight="1">
      <c r="A793" s="39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5.75" customHeight="1">
      <c r="A794" s="39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5.75" customHeight="1">
      <c r="A795" s="39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5.75" customHeight="1">
      <c r="A796" s="39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5.75" customHeight="1">
      <c r="A797" s="39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5.75" customHeight="1">
      <c r="A798" s="39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5.75" customHeight="1">
      <c r="A799" s="39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5.75" customHeight="1">
      <c r="A800" s="39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5.75" customHeight="1">
      <c r="A801" s="39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5.75" customHeight="1">
      <c r="A802" s="39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5.75" customHeight="1">
      <c r="A803" s="39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5.75" customHeight="1">
      <c r="A804" s="39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5.75" customHeight="1">
      <c r="A805" s="39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5.75" customHeight="1">
      <c r="A806" s="39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5.75" customHeight="1">
      <c r="A807" s="39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5.75" customHeight="1">
      <c r="A808" s="39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5.75" customHeight="1">
      <c r="A809" s="39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5.75" customHeight="1">
      <c r="A810" s="39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5.75" customHeight="1">
      <c r="A811" s="39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5.75" customHeight="1">
      <c r="A812" s="39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5.75" customHeight="1">
      <c r="A813" s="39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5.75" customHeight="1">
      <c r="A814" s="39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5.75" customHeight="1">
      <c r="A815" s="39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5.75" customHeight="1">
      <c r="A816" s="39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5.75" customHeight="1">
      <c r="A817" s="39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5.75" customHeight="1">
      <c r="A818" s="39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5.75" customHeight="1">
      <c r="A819" s="39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5.75" customHeight="1">
      <c r="A820" s="39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5.75" customHeight="1">
      <c r="A821" s="39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5.75" customHeight="1">
      <c r="A822" s="39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5.75" customHeight="1">
      <c r="A823" s="39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5.75" customHeight="1">
      <c r="A824" s="39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5.75" customHeight="1">
      <c r="A825" s="39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5.75" customHeight="1">
      <c r="A826" s="39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5.75" customHeight="1">
      <c r="A827" s="39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5.75" customHeight="1">
      <c r="A828" s="39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5.75" customHeight="1">
      <c r="A829" s="39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5.75" customHeight="1">
      <c r="A830" s="39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5.75" customHeight="1">
      <c r="A831" s="39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5.75" customHeight="1">
      <c r="A832" s="39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5.75" customHeight="1">
      <c r="A833" s="39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5.75" customHeight="1">
      <c r="A834" s="39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5.75" customHeight="1">
      <c r="A835" s="39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5.75" customHeight="1">
      <c r="A836" s="39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5.75" customHeight="1">
      <c r="A837" s="39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5.75" customHeight="1">
      <c r="A838" s="39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5.75" customHeight="1">
      <c r="A839" s="39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5.75" customHeight="1">
      <c r="A840" s="39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5.75" customHeight="1">
      <c r="A841" s="39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5.75" customHeight="1">
      <c r="A842" s="39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5.75" customHeight="1">
      <c r="A843" s="39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5.75" customHeight="1">
      <c r="A844" s="39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5.75" customHeight="1">
      <c r="A845" s="39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5.75" customHeight="1">
      <c r="A846" s="39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5.75" customHeight="1">
      <c r="A847" s="39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5.75" customHeight="1">
      <c r="A848" s="39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5.75" customHeight="1">
      <c r="A849" s="39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5.75" customHeight="1">
      <c r="A850" s="39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5.75" customHeight="1">
      <c r="A851" s="39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5.75" customHeight="1">
      <c r="A852" s="39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5.75" customHeight="1">
      <c r="A853" s="39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5.75" customHeight="1">
      <c r="A854" s="39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5.75" customHeight="1">
      <c r="A855" s="39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5.75" customHeight="1">
      <c r="A856" s="39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5.75" customHeight="1">
      <c r="A857" s="39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5.75" customHeight="1">
      <c r="A858" s="39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5.75" customHeight="1">
      <c r="A859" s="39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5.75" customHeight="1">
      <c r="A860" s="39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5.75" customHeight="1">
      <c r="A861" s="39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5.75" customHeight="1">
      <c r="A862" s="39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5.75" customHeight="1">
      <c r="A863" s="39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5.75" customHeight="1">
      <c r="A864" s="39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5.75" customHeight="1">
      <c r="A865" s="39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5.75" customHeight="1">
      <c r="A866" s="39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5.75" customHeight="1">
      <c r="A867" s="39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5.75" customHeight="1">
      <c r="A868" s="39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5.75" customHeight="1">
      <c r="A869" s="39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5.75" customHeight="1">
      <c r="A870" s="39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5.75" customHeight="1">
      <c r="A871" s="39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5.75" customHeight="1">
      <c r="A872" s="39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5.75" customHeight="1">
      <c r="A873" s="39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5.75" customHeight="1">
      <c r="A874" s="39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5.75" customHeight="1">
      <c r="A875" s="39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5.75" customHeight="1">
      <c r="A876" s="39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5.75" customHeight="1">
      <c r="A877" s="39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5.75" customHeight="1">
      <c r="A878" s="39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5.75" customHeight="1">
      <c r="A879" s="39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5.75" customHeight="1">
      <c r="A880" s="39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5.75" customHeight="1">
      <c r="A881" s="39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5.75" customHeight="1">
      <c r="A882" s="39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5.75" customHeight="1">
      <c r="A883" s="39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5.75" customHeight="1">
      <c r="A884" s="39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5.75" customHeight="1">
      <c r="A885" s="39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5.75" customHeight="1">
      <c r="A886" s="39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5.75" customHeight="1">
      <c r="A887" s="39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5.75" customHeight="1">
      <c r="A888" s="39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5.75" customHeight="1">
      <c r="A889" s="39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5.75" customHeight="1">
      <c r="A890" s="39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5.75" customHeight="1">
      <c r="A891" s="39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5.75" customHeight="1">
      <c r="A892" s="39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5.75" customHeight="1">
      <c r="A893" s="39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5.75" customHeight="1">
      <c r="A894" s="39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5.75" customHeight="1">
      <c r="A895" s="39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5.75" customHeight="1">
      <c r="A896" s="39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5.75" customHeight="1">
      <c r="A897" s="39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5.75" customHeight="1">
      <c r="A898" s="39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5.75" customHeight="1">
      <c r="A899" s="39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5.75" customHeight="1">
      <c r="A900" s="39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5.75" customHeight="1">
      <c r="A901" s="39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5.75" customHeight="1">
      <c r="A902" s="39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5.75" customHeight="1">
      <c r="A903" s="39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5.75" customHeight="1">
      <c r="A904" s="39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5.75" customHeight="1">
      <c r="A905" s="39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5.75" customHeight="1">
      <c r="A906" s="39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5.75" customHeight="1">
      <c r="A907" s="39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5.75" customHeight="1">
      <c r="A908" s="39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5.75" customHeight="1">
      <c r="A909" s="39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5.75" customHeight="1">
      <c r="A910" s="39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5.75" customHeight="1">
      <c r="A911" s="39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5.75" customHeight="1">
      <c r="A912" s="39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5.75" customHeight="1">
      <c r="A913" s="39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5.75" customHeight="1">
      <c r="A914" s="39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5.75" customHeight="1">
      <c r="A915" s="39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5.75" customHeight="1">
      <c r="A916" s="39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5.75" customHeight="1">
      <c r="A917" s="39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5.75" customHeight="1">
      <c r="A918" s="39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5.75" customHeight="1">
      <c r="A919" s="39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5.75" customHeight="1">
      <c r="A920" s="39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5.75" customHeight="1">
      <c r="A921" s="39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5.75" customHeight="1">
      <c r="A922" s="39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5.75" customHeight="1">
      <c r="A923" s="39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5.75" customHeight="1">
      <c r="A924" s="39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5.75" customHeight="1">
      <c r="A925" s="39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5.75" customHeight="1">
      <c r="A926" s="39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5.75" customHeight="1">
      <c r="A927" s="39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5.75" customHeight="1">
      <c r="A928" s="39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5.75" customHeight="1">
      <c r="A929" s="39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5.75" customHeight="1">
      <c r="A930" s="39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5.75" customHeight="1">
      <c r="A931" s="39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5.75" customHeight="1">
      <c r="A932" s="39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5.75" customHeight="1">
      <c r="A933" s="39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5.75" customHeight="1">
      <c r="A934" s="39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5.75" customHeight="1">
      <c r="A935" s="39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5.75" customHeight="1">
      <c r="A936" s="39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5.75" customHeight="1">
      <c r="A937" s="39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5.75" customHeight="1">
      <c r="A938" s="39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5.75" customHeight="1">
      <c r="A939" s="39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5.75" customHeight="1">
      <c r="A940" s="39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5.75" customHeight="1">
      <c r="A941" s="39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5.75" customHeight="1">
      <c r="A942" s="39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5.75" customHeight="1">
      <c r="A943" s="39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5.75" customHeight="1">
      <c r="A944" s="39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5.75" customHeight="1">
      <c r="A945" s="39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5.75" customHeight="1">
      <c r="A946" s="39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5.75" customHeight="1">
      <c r="A947" s="39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5.75" customHeight="1">
      <c r="A948" s="39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5.75" customHeight="1">
      <c r="A949" s="39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5.75" customHeight="1">
      <c r="A950" s="39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5.75" customHeight="1">
      <c r="A951" s="39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5.75" customHeight="1">
      <c r="A952" s="39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5.75" customHeight="1">
      <c r="A953" s="39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5.75" customHeight="1">
      <c r="A954" s="39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5.75" customHeight="1">
      <c r="A955" s="39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5.75" customHeight="1">
      <c r="A956" s="39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5.75" customHeight="1">
      <c r="A957" s="39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5.75" customHeight="1">
      <c r="A958" s="39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5.75" customHeight="1">
      <c r="A959" s="39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5.75" customHeight="1">
      <c r="A960" s="39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5.75" customHeight="1">
      <c r="A961" s="39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5.75" customHeight="1">
      <c r="A962" s="39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5.75" customHeight="1">
      <c r="A963" s="39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5.75" customHeight="1">
      <c r="A964" s="39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5.75" customHeight="1">
      <c r="A965" s="39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5.75" customHeight="1">
      <c r="A966" s="39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5.75" customHeight="1">
      <c r="A967" s="39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5.75" customHeight="1">
      <c r="A968" s="39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5.75" customHeight="1">
      <c r="A969" s="39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5.75" customHeight="1">
      <c r="A970" s="39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5.75" customHeight="1">
      <c r="A971" s="39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5.75" customHeight="1">
      <c r="A972" s="39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5.75" customHeight="1">
      <c r="A973" s="39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5.75" customHeight="1">
      <c r="A974" s="39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5.75" customHeight="1">
      <c r="A975" s="39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5.75" customHeight="1">
      <c r="A976" s="39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5.75" customHeight="1">
      <c r="A977" s="39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5.75" customHeight="1">
      <c r="A978" s="39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5.75" customHeight="1">
      <c r="A979" s="39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5.75" customHeight="1">
      <c r="A980" s="39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5.75" customHeight="1">
      <c r="A981" s="39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5.75" customHeight="1">
      <c r="A982" s="39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5.75" customHeight="1">
      <c r="A983" s="39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5.75" customHeight="1">
      <c r="A984" s="39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5.75" customHeight="1">
      <c r="A985" s="39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5.75" customHeight="1">
      <c r="A986" s="39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5.75" customHeight="1">
      <c r="A987" s="39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5.75" customHeight="1">
      <c r="A988" s="39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5.75" customHeight="1">
      <c r="A989" s="39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5.75" customHeight="1">
      <c r="A990" s="39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5.75" customHeight="1">
      <c r="A991" s="39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5.75" customHeight="1">
      <c r="A992" s="39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5.75" customHeight="1">
      <c r="A993" s="39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5.75" customHeight="1">
      <c r="A994" s="39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5.75" customHeight="1">
      <c r="A995" s="39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5.75" customHeight="1">
      <c r="A996" s="39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5.75" customHeight="1">
      <c r="A997" s="39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5.75" customHeight="1">
      <c r="A998" s="39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5.75" customHeight="1">
      <c r="A999" s="39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5.75" customHeight="1">
      <c r="A1000" s="39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">
    <mergeCell ref="D13:Q13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FB1A-557A-4650-B984-9F5D3BFEB6C6}">
  <dimension ref="A1:K1000"/>
  <sheetViews>
    <sheetView showGridLines="0" topLeftCell="A13" zoomScale="55" zoomScaleNormal="55" workbookViewId="0">
      <selection activeCell="I36" sqref="I36:J36"/>
    </sheetView>
  </sheetViews>
  <sheetFormatPr baseColWidth="10" defaultColWidth="12.625" defaultRowHeight="15" customHeight="1"/>
  <cols>
    <col min="1" max="1" width="7.625" style="37" customWidth="1"/>
    <col min="2" max="2" width="3" style="37" customWidth="1"/>
    <col min="3" max="3" width="11.875" style="37" customWidth="1"/>
    <col min="4" max="4" width="13" style="37" customWidth="1"/>
    <col min="5" max="5" width="15.25" style="37" customWidth="1"/>
    <col min="6" max="6" width="9.375" style="37" customWidth="1"/>
    <col min="7" max="7" width="30.5" style="37" customWidth="1"/>
    <col min="8" max="9" width="14.75" style="37" customWidth="1"/>
    <col min="10" max="10" width="15.25" style="37" customWidth="1"/>
    <col min="11" max="26" width="9.375" style="37" customWidth="1"/>
    <col min="27" max="16384" width="12.625" style="37"/>
  </cols>
  <sheetData>
    <row r="1" spans="1:11">
      <c r="A1" s="47"/>
    </row>
    <row r="2" spans="1:11">
      <c r="A2" s="47"/>
    </row>
    <row r="3" spans="1:11">
      <c r="A3" s="47"/>
    </row>
    <row r="4" spans="1:11">
      <c r="A4" s="47"/>
    </row>
    <row r="5" spans="1:11">
      <c r="A5" s="47"/>
    </row>
    <row r="6" spans="1:11">
      <c r="A6" s="47"/>
    </row>
    <row r="7" spans="1:11">
      <c r="A7" s="47"/>
    </row>
    <row r="8" spans="1:11">
      <c r="A8" s="47"/>
      <c r="K8" s="56"/>
    </row>
    <row r="9" spans="1:11" ht="36.75" customHeight="1" thickBot="1">
      <c r="A9" s="47"/>
      <c r="C9" s="46" t="s">
        <v>0</v>
      </c>
      <c r="D9" s="45"/>
      <c r="E9" s="45"/>
      <c r="F9" s="45"/>
      <c r="G9" s="45"/>
      <c r="H9" s="45"/>
      <c r="I9" s="45"/>
      <c r="J9" s="45"/>
    </row>
    <row r="10" spans="1:11" ht="15.75" thickTop="1">
      <c r="A10" s="47"/>
      <c r="C10" s="55"/>
    </row>
    <row r="11" spans="1:11" ht="20.25">
      <c r="A11" s="47"/>
      <c r="G11" s="44" t="s">
        <v>9</v>
      </c>
    </row>
    <row r="12" spans="1:11" ht="7.5" customHeight="1">
      <c r="A12" s="47"/>
    </row>
    <row r="13" spans="1:11" ht="15.75">
      <c r="A13" s="47"/>
      <c r="C13" s="42" t="s">
        <v>2</v>
      </c>
      <c r="D13" s="51" t="s">
        <v>10</v>
      </c>
    </row>
    <row r="14" spans="1:11" ht="15.75">
      <c r="A14" s="47"/>
      <c r="C14" s="49"/>
      <c r="D14" s="50" t="s">
        <v>11</v>
      </c>
      <c r="E14" s="54"/>
      <c r="F14" s="54"/>
      <c r="G14" s="54"/>
      <c r="H14" s="54"/>
    </row>
    <row r="15" spans="1:11" ht="15.75">
      <c r="A15" s="47"/>
      <c r="C15" s="49"/>
      <c r="D15" s="50" t="s">
        <v>12</v>
      </c>
      <c r="E15" s="54"/>
      <c r="F15" s="54"/>
      <c r="G15" s="54"/>
      <c r="H15" s="54"/>
    </row>
    <row r="16" spans="1:11">
      <c r="A16" s="47"/>
    </row>
    <row r="17" spans="1:10" ht="17.25">
      <c r="A17" s="47"/>
      <c r="C17" s="42" t="s">
        <v>4</v>
      </c>
      <c r="D17" s="53"/>
    </row>
    <row r="18" spans="1:10">
      <c r="A18" s="47"/>
    </row>
    <row r="19" spans="1:10" ht="15.75">
      <c r="A19" s="47"/>
      <c r="C19" s="42" t="s">
        <v>5</v>
      </c>
      <c r="H19" s="42" t="s">
        <v>6</v>
      </c>
    </row>
    <row r="20" spans="1:10">
      <c r="A20" s="47"/>
    </row>
    <row r="21" spans="1:10" ht="15.75" customHeight="1">
      <c r="A21" s="47"/>
      <c r="D21" s="61">
        <f ca="1">RAND()</f>
        <v>0.5919376958920638</v>
      </c>
      <c r="E21" s="62"/>
      <c r="F21" s="48"/>
      <c r="G21" s="48"/>
      <c r="H21" s="48"/>
      <c r="I21" s="61">
        <f ca="1">RAND()</f>
        <v>0.25933501293111894</v>
      </c>
      <c r="J21" s="62"/>
    </row>
    <row r="22" spans="1:10" ht="15.75" customHeight="1">
      <c r="A22" s="47"/>
      <c r="D22" s="60"/>
      <c r="E22" s="59"/>
      <c r="I22" s="60"/>
      <c r="J22" s="59"/>
    </row>
    <row r="23" spans="1:10" ht="15.75" customHeight="1">
      <c r="A23" s="47"/>
      <c r="D23" s="60"/>
      <c r="E23" s="59"/>
      <c r="I23" s="60"/>
      <c r="J23" s="59"/>
    </row>
    <row r="24" spans="1:10" ht="15.75" customHeight="1">
      <c r="A24" s="47"/>
      <c r="D24" s="60"/>
      <c r="E24" s="59"/>
      <c r="I24" s="60"/>
      <c r="J24" s="59"/>
    </row>
    <row r="25" spans="1:10" ht="15.75" customHeight="1">
      <c r="A25" s="47"/>
      <c r="D25" s="52"/>
      <c r="E25" s="52"/>
      <c r="I25" s="52"/>
      <c r="J25" s="52"/>
    </row>
    <row r="26" spans="1:10" ht="15.75" customHeight="1">
      <c r="A26" s="47"/>
      <c r="D26" s="52"/>
      <c r="E26" s="52"/>
      <c r="G26" s="44" t="s">
        <v>13</v>
      </c>
      <c r="I26" s="52"/>
      <c r="J26" s="52"/>
    </row>
    <row r="27" spans="1:10" ht="15.75" customHeight="1">
      <c r="A27" s="47"/>
    </row>
    <row r="28" spans="1:10" ht="15.75" customHeight="1">
      <c r="A28" s="47"/>
      <c r="C28" s="42" t="s">
        <v>2</v>
      </c>
      <c r="D28" s="50" t="s">
        <v>14</v>
      </c>
      <c r="E28" s="51"/>
      <c r="F28" s="51"/>
      <c r="G28" s="51"/>
      <c r="H28" s="51"/>
      <c r="I28" s="51"/>
    </row>
    <row r="29" spans="1:10" ht="15.75" customHeight="1">
      <c r="A29" s="47"/>
      <c r="C29" s="42"/>
      <c r="D29" s="50" t="s">
        <v>11</v>
      </c>
      <c r="E29" s="50"/>
      <c r="F29" s="50"/>
      <c r="G29" s="50"/>
    </row>
    <row r="30" spans="1:10" ht="15.75" customHeight="1">
      <c r="A30" s="47"/>
      <c r="C30" s="49"/>
      <c r="D30" s="50" t="s">
        <v>15</v>
      </c>
      <c r="E30" s="50"/>
      <c r="F30" s="50"/>
      <c r="G30" s="50"/>
    </row>
    <row r="31" spans="1:10" ht="15.75" customHeight="1">
      <c r="A31" s="47"/>
      <c r="C31" s="49"/>
    </row>
    <row r="32" spans="1:10" ht="15.75" customHeight="1">
      <c r="A32" s="47"/>
      <c r="C32" s="42" t="s">
        <v>4</v>
      </c>
    </row>
    <row r="33" spans="1:10" ht="15.75" customHeight="1">
      <c r="A33" s="47"/>
    </row>
    <row r="34" spans="1:10" ht="15.75" customHeight="1">
      <c r="A34" s="47"/>
    </row>
    <row r="35" spans="1:10" ht="15.75" customHeight="1">
      <c r="A35" s="47"/>
      <c r="C35" s="42" t="s">
        <v>5</v>
      </c>
      <c r="H35" s="42" t="s">
        <v>6</v>
      </c>
    </row>
    <row r="36" spans="1:10" ht="15.75" customHeight="1">
      <c r="A36" s="47"/>
      <c r="D36" s="61">
        <f ca="1">RANDBETWEEN(5,10)</f>
        <v>6</v>
      </c>
      <c r="E36" s="62"/>
      <c r="F36" s="48"/>
      <c r="G36" s="48"/>
      <c r="H36" s="48"/>
      <c r="I36" s="61">
        <f ca="1">RANDBETWEEN(6,50)</f>
        <v>12</v>
      </c>
      <c r="J36" s="62"/>
    </row>
    <row r="37" spans="1:10" ht="15.75" customHeight="1">
      <c r="A37" s="47"/>
      <c r="D37" s="63"/>
      <c r="E37" s="59"/>
      <c r="I37" s="63"/>
      <c r="J37" s="59"/>
    </row>
    <row r="38" spans="1:10" ht="15.75" customHeight="1">
      <c r="A38" s="47"/>
      <c r="D38" s="63"/>
      <c r="E38" s="59"/>
      <c r="I38" s="63"/>
      <c r="J38" s="59"/>
    </row>
    <row r="39" spans="1:10" ht="15.75" customHeight="1">
      <c r="A39" s="47"/>
    </row>
    <row r="40" spans="1:10" ht="15.75" customHeight="1">
      <c r="A40" s="47"/>
    </row>
    <row r="41" spans="1:10" ht="15.75" customHeight="1">
      <c r="A41" s="47"/>
    </row>
    <row r="42" spans="1:10" ht="15.75" customHeight="1">
      <c r="A42" s="47"/>
    </row>
    <row r="43" spans="1:10" ht="15.75" customHeight="1">
      <c r="A43" s="47"/>
    </row>
    <row r="44" spans="1:10" ht="15.75" customHeight="1">
      <c r="A44" s="47"/>
    </row>
    <row r="45" spans="1:10" ht="15.75" customHeight="1">
      <c r="A45" s="47"/>
    </row>
    <row r="46" spans="1:10" ht="15.75" customHeight="1">
      <c r="A46" s="47"/>
    </row>
    <row r="47" spans="1:10" ht="15.75" customHeight="1">
      <c r="A47" s="47"/>
    </row>
    <row r="48" spans="1:10" ht="15.75" customHeight="1">
      <c r="A48" s="47"/>
    </row>
    <row r="49" spans="1:1" ht="15.75" customHeight="1">
      <c r="A49" s="47"/>
    </row>
    <row r="50" spans="1:1" ht="15.75" customHeight="1">
      <c r="A50" s="47"/>
    </row>
    <row r="51" spans="1:1" ht="15.75" customHeight="1">
      <c r="A51" s="47"/>
    </row>
    <row r="52" spans="1:1" ht="15.75" customHeight="1">
      <c r="A52" s="47"/>
    </row>
    <row r="53" spans="1:1" ht="15.75" customHeight="1">
      <c r="A53" s="47"/>
    </row>
    <row r="54" spans="1:1" ht="15.75" customHeight="1">
      <c r="A54" s="47"/>
    </row>
    <row r="55" spans="1:1" ht="15.75" customHeight="1">
      <c r="A55" s="47"/>
    </row>
    <row r="56" spans="1:1" ht="15.75" customHeight="1">
      <c r="A56" s="47"/>
    </row>
    <row r="57" spans="1:1" ht="15.75" customHeight="1">
      <c r="A57" s="47"/>
    </row>
    <row r="58" spans="1:1" ht="15.75" customHeight="1">
      <c r="A58" s="47"/>
    </row>
    <row r="59" spans="1:1" ht="15.75" customHeight="1">
      <c r="A59" s="47"/>
    </row>
    <row r="60" spans="1:1" ht="15.75" customHeight="1">
      <c r="A60" s="47"/>
    </row>
    <row r="61" spans="1:1" ht="15.75" customHeight="1">
      <c r="A61" s="47"/>
    </row>
    <row r="62" spans="1:1" ht="15.75" customHeight="1">
      <c r="A62" s="47"/>
    </row>
    <row r="63" spans="1:1" ht="15.75" customHeight="1">
      <c r="A63" s="47"/>
    </row>
    <row r="64" spans="1:1" ht="15.75" customHeight="1">
      <c r="A64" s="47"/>
    </row>
    <row r="65" spans="1:1" ht="15.75" customHeight="1">
      <c r="A65" s="47"/>
    </row>
    <row r="66" spans="1:1" ht="15.75" customHeight="1">
      <c r="A66" s="47"/>
    </row>
    <row r="67" spans="1:1" ht="15.75" customHeight="1">
      <c r="A67" s="47"/>
    </row>
    <row r="68" spans="1:1" ht="15.75" customHeight="1">
      <c r="A68" s="47"/>
    </row>
    <row r="69" spans="1:1" ht="15.75" customHeight="1">
      <c r="A69" s="47"/>
    </row>
    <row r="70" spans="1:1" ht="15.75" customHeight="1">
      <c r="A70" s="47"/>
    </row>
    <row r="71" spans="1:1" ht="15.75" customHeight="1">
      <c r="A71" s="47"/>
    </row>
    <row r="72" spans="1:1" ht="15.75" customHeight="1">
      <c r="A72" s="47"/>
    </row>
    <row r="73" spans="1:1" ht="15.75" customHeight="1">
      <c r="A73" s="47"/>
    </row>
    <row r="74" spans="1:1" ht="15.75" customHeight="1">
      <c r="A74" s="47"/>
    </row>
    <row r="75" spans="1:1" ht="15.75" customHeight="1">
      <c r="A75" s="47"/>
    </row>
    <row r="76" spans="1:1" ht="15.75" customHeight="1">
      <c r="A76" s="47"/>
    </row>
    <row r="77" spans="1:1" ht="15.75" customHeight="1">
      <c r="A77" s="47"/>
    </row>
    <row r="78" spans="1:1" ht="15.75" customHeight="1">
      <c r="A78" s="47"/>
    </row>
    <row r="79" spans="1:1" ht="15.75" customHeight="1">
      <c r="A79" s="47"/>
    </row>
    <row r="80" spans="1:1" ht="15.75" customHeight="1">
      <c r="A80" s="47"/>
    </row>
    <row r="81" spans="1:1" ht="15.75" customHeight="1">
      <c r="A81" s="47"/>
    </row>
    <row r="82" spans="1:1" ht="15.75" customHeight="1">
      <c r="A82" s="47"/>
    </row>
    <row r="83" spans="1:1" ht="15.75" customHeight="1">
      <c r="A83" s="47"/>
    </row>
    <row r="84" spans="1:1" ht="15.75" customHeight="1">
      <c r="A84" s="47"/>
    </row>
    <row r="85" spans="1:1" ht="15.75" customHeight="1">
      <c r="A85" s="47"/>
    </row>
    <row r="86" spans="1:1" ht="15.75" customHeight="1">
      <c r="A86" s="47"/>
    </row>
    <row r="87" spans="1:1" ht="15.75" customHeight="1">
      <c r="A87" s="47"/>
    </row>
    <row r="88" spans="1:1" ht="15.75" customHeight="1">
      <c r="A88" s="47"/>
    </row>
    <row r="89" spans="1:1" ht="15.75" customHeight="1">
      <c r="A89" s="47"/>
    </row>
    <row r="90" spans="1:1" ht="15.75" customHeight="1">
      <c r="A90" s="47"/>
    </row>
    <row r="91" spans="1:1" ht="15.75" customHeight="1">
      <c r="A91" s="47"/>
    </row>
    <row r="92" spans="1:1" ht="15.75" customHeight="1">
      <c r="A92" s="47"/>
    </row>
    <row r="93" spans="1:1" ht="15.75" customHeight="1">
      <c r="A93" s="47"/>
    </row>
    <row r="94" spans="1:1" ht="15.75" customHeight="1">
      <c r="A94" s="47"/>
    </row>
    <row r="95" spans="1:1" ht="15.75" customHeight="1">
      <c r="A95" s="47"/>
    </row>
    <row r="96" spans="1:1" ht="15.75" customHeight="1">
      <c r="A96" s="47"/>
    </row>
    <row r="97" spans="1:1" ht="15.75" customHeight="1">
      <c r="A97" s="47"/>
    </row>
    <row r="98" spans="1:1" ht="15.75" customHeight="1">
      <c r="A98" s="47"/>
    </row>
    <row r="99" spans="1:1" ht="15.75" customHeight="1">
      <c r="A99" s="47"/>
    </row>
    <row r="100" spans="1:1" ht="15.75" customHeight="1">
      <c r="A100" s="47"/>
    </row>
    <row r="101" spans="1:1" ht="15.75" customHeight="1">
      <c r="A101" s="47"/>
    </row>
    <row r="102" spans="1:1" ht="15.75" customHeight="1">
      <c r="A102" s="47"/>
    </row>
    <row r="103" spans="1:1" ht="15.75" customHeight="1">
      <c r="A103" s="47"/>
    </row>
    <row r="104" spans="1:1" ht="15.75" customHeight="1">
      <c r="A104" s="47"/>
    </row>
    <row r="105" spans="1:1" ht="15.75" customHeight="1">
      <c r="A105" s="47"/>
    </row>
    <row r="106" spans="1:1" ht="15.75" customHeight="1">
      <c r="A106" s="47"/>
    </row>
    <row r="107" spans="1:1" ht="15.75" customHeight="1">
      <c r="A107" s="47"/>
    </row>
    <row r="108" spans="1:1" ht="15.75" customHeight="1">
      <c r="A108" s="47"/>
    </row>
    <row r="109" spans="1:1" ht="15.75" customHeight="1">
      <c r="A109" s="47"/>
    </row>
    <row r="110" spans="1:1" ht="15.75" customHeight="1">
      <c r="A110" s="47"/>
    </row>
    <row r="111" spans="1:1" ht="15.75" customHeight="1">
      <c r="A111" s="47"/>
    </row>
    <row r="112" spans="1:1" ht="15.75" customHeight="1">
      <c r="A112" s="47"/>
    </row>
    <row r="113" spans="1:1" ht="15.75" customHeight="1">
      <c r="A113" s="47"/>
    </row>
    <row r="114" spans="1:1" ht="15.75" customHeight="1">
      <c r="A114" s="47"/>
    </row>
    <row r="115" spans="1:1" ht="15.75" customHeight="1">
      <c r="A115" s="47"/>
    </row>
    <row r="116" spans="1:1" ht="15.75" customHeight="1">
      <c r="A116" s="47"/>
    </row>
    <row r="117" spans="1:1" ht="15.75" customHeight="1">
      <c r="A117" s="47"/>
    </row>
    <row r="118" spans="1:1" ht="15.75" customHeight="1">
      <c r="A118" s="47"/>
    </row>
    <row r="119" spans="1:1" ht="15.75" customHeight="1">
      <c r="A119" s="47"/>
    </row>
    <row r="120" spans="1:1" ht="15.75" customHeight="1">
      <c r="A120" s="47"/>
    </row>
    <row r="121" spans="1:1" ht="15.75" customHeight="1">
      <c r="A121" s="47"/>
    </row>
    <row r="122" spans="1:1" ht="15.75" customHeight="1">
      <c r="A122" s="47"/>
    </row>
    <row r="123" spans="1:1" ht="15.75" customHeight="1">
      <c r="A123" s="47"/>
    </row>
    <row r="124" spans="1:1" ht="15.75" customHeight="1">
      <c r="A124" s="47"/>
    </row>
    <row r="125" spans="1:1" ht="15.75" customHeight="1">
      <c r="A125" s="47"/>
    </row>
    <row r="126" spans="1:1" ht="15.75" customHeight="1">
      <c r="A126" s="47"/>
    </row>
    <row r="127" spans="1:1" ht="15.75" customHeight="1">
      <c r="A127" s="47"/>
    </row>
    <row r="128" spans="1:1" ht="15.75" customHeight="1">
      <c r="A128" s="47"/>
    </row>
    <row r="129" spans="1:1" ht="15.75" customHeight="1">
      <c r="A129" s="47"/>
    </row>
    <row r="130" spans="1:1" ht="15.75" customHeight="1">
      <c r="A130" s="47"/>
    </row>
    <row r="131" spans="1:1" ht="15.75" customHeight="1">
      <c r="A131" s="47"/>
    </row>
    <row r="132" spans="1:1" ht="15.75" customHeight="1">
      <c r="A132" s="47"/>
    </row>
    <row r="133" spans="1:1" ht="15.75" customHeight="1">
      <c r="A133" s="47"/>
    </row>
    <row r="134" spans="1:1" ht="15.75" customHeight="1">
      <c r="A134" s="47"/>
    </row>
    <row r="135" spans="1:1" ht="15.75" customHeight="1">
      <c r="A135" s="47"/>
    </row>
    <row r="136" spans="1:1" ht="15.75" customHeight="1">
      <c r="A136" s="47"/>
    </row>
    <row r="137" spans="1:1" ht="15.75" customHeight="1">
      <c r="A137" s="47"/>
    </row>
    <row r="138" spans="1:1" ht="15.75" customHeight="1">
      <c r="A138" s="47"/>
    </row>
    <row r="139" spans="1:1" ht="15.75" customHeight="1">
      <c r="A139" s="47"/>
    </row>
    <row r="140" spans="1:1" ht="15.75" customHeight="1">
      <c r="A140" s="47"/>
    </row>
    <row r="141" spans="1:1" ht="15.75" customHeight="1">
      <c r="A141" s="47"/>
    </row>
    <row r="142" spans="1:1" ht="15.75" customHeight="1">
      <c r="A142" s="47"/>
    </row>
    <row r="143" spans="1:1" ht="15.75" customHeight="1">
      <c r="A143" s="47"/>
    </row>
    <row r="144" spans="1:1" ht="15.75" customHeight="1">
      <c r="A144" s="47"/>
    </row>
    <row r="145" spans="1:1" ht="15.75" customHeight="1">
      <c r="A145" s="47"/>
    </row>
    <row r="146" spans="1:1" ht="15.75" customHeight="1">
      <c r="A146" s="47"/>
    </row>
    <row r="147" spans="1:1" ht="15.75" customHeight="1">
      <c r="A147" s="47"/>
    </row>
    <row r="148" spans="1:1" ht="15.75" customHeight="1">
      <c r="A148" s="47"/>
    </row>
    <row r="149" spans="1:1" ht="15.75" customHeight="1">
      <c r="A149" s="47"/>
    </row>
    <row r="150" spans="1:1" ht="15.75" customHeight="1">
      <c r="A150" s="47"/>
    </row>
    <row r="151" spans="1:1" ht="15.75" customHeight="1">
      <c r="A151" s="47"/>
    </row>
    <row r="152" spans="1:1" ht="15.75" customHeight="1">
      <c r="A152" s="47"/>
    </row>
    <row r="153" spans="1:1" ht="15.75" customHeight="1">
      <c r="A153" s="47"/>
    </row>
    <row r="154" spans="1:1" ht="15.75" customHeight="1">
      <c r="A154" s="47"/>
    </row>
    <row r="155" spans="1:1" ht="15.75" customHeight="1">
      <c r="A155" s="47"/>
    </row>
    <row r="156" spans="1:1" ht="15.75" customHeight="1">
      <c r="A156" s="47"/>
    </row>
    <row r="157" spans="1:1" ht="15.75" customHeight="1">
      <c r="A157" s="47"/>
    </row>
    <row r="158" spans="1:1" ht="15.75" customHeight="1">
      <c r="A158" s="47"/>
    </row>
    <row r="159" spans="1:1" ht="15.75" customHeight="1">
      <c r="A159" s="47"/>
    </row>
    <row r="160" spans="1:1" ht="15.75" customHeight="1">
      <c r="A160" s="47"/>
    </row>
    <row r="161" spans="1:1" ht="15.75" customHeight="1">
      <c r="A161" s="47"/>
    </row>
    <row r="162" spans="1:1" ht="15.75" customHeight="1">
      <c r="A162" s="47"/>
    </row>
    <row r="163" spans="1:1" ht="15.75" customHeight="1">
      <c r="A163" s="47"/>
    </row>
    <row r="164" spans="1:1" ht="15.75" customHeight="1">
      <c r="A164" s="47"/>
    </row>
    <row r="165" spans="1:1" ht="15.75" customHeight="1">
      <c r="A165" s="47"/>
    </row>
    <row r="166" spans="1:1" ht="15.75" customHeight="1">
      <c r="A166" s="47"/>
    </row>
    <row r="167" spans="1:1" ht="15.75" customHeight="1">
      <c r="A167" s="47"/>
    </row>
    <row r="168" spans="1:1" ht="15.75" customHeight="1">
      <c r="A168" s="47"/>
    </row>
    <row r="169" spans="1:1" ht="15.75" customHeight="1">
      <c r="A169" s="47"/>
    </row>
    <row r="170" spans="1:1" ht="15.75" customHeight="1">
      <c r="A170" s="47"/>
    </row>
    <row r="171" spans="1:1" ht="15.75" customHeight="1">
      <c r="A171" s="47"/>
    </row>
    <row r="172" spans="1:1" ht="15.75" customHeight="1">
      <c r="A172" s="47"/>
    </row>
    <row r="173" spans="1:1" ht="15.75" customHeight="1">
      <c r="A173" s="47"/>
    </row>
    <row r="174" spans="1:1" ht="15.75" customHeight="1">
      <c r="A174" s="47"/>
    </row>
    <row r="175" spans="1:1" ht="15.75" customHeight="1">
      <c r="A175" s="47"/>
    </row>
    <row r="176" spans="1:1" ht="15.75" customHeight="1">
      <c r="A176" s="47"/>
    </row>
    <row r="177" spans="1:1" ht="15.75" customHeight="1">
      <c r="A177" s="47"/>
    </row>
    <row r="178" spans="1:1" ht="15.75" customHeight="1">
      <c r="A178" s="47"/>
    </row>
    <row r="179" spans="1:1" ht="15.75" customHeight="1">
      <c r="A179" s="47"/>
    </row>
    <row r="180" spans="1:1" ht="15.75" customHeight="1">
      <c r="A180" s="47"/>
    </row>
    <row r="181" spans="1:1" ht="15.75" customHeight="1">
      <c r="A181" s="47"/>
    </row>
    <row r="182" spans="1:1" ht="15.75" customHeight="1">
      <c r="A182" s="47"/>
    </row>
    <row r="183" spans="1:1" ht="15.75" customHeight="1">
      <c r="A183" s="47"/>
    </row>
    <row r="184" spans="1:1" ht="15.75" customHeight="1">
      <c r="A184" s="47"/>
    </row>
    <row r="185" spans="1:1" ht="15.75" customHeight="1">
      <c r="A185" s="47"/>
    </row>
    <row r="186" spans="1:1" ht="15.75" customHeight="1">
      <c r="A186" s="47"/>
    </row>
    <row r="187" spans="1:1" ht="15.75" customHeight="1">
      <c r="A187" s="47"/>
    </row>
    <row r="188" spans="1:1" ht="15.75" customHeight="1">
      <c r="A188" s="47"/>
    </row>
    <row r="189" spans="1:1" ht="15.75" customHeight="1">
      <c r="A189" s="47"/>
    </row>
    <row r="190" spans="1:1" ht="15.75" customHeight="1">
      <c r="A190" s="47"/>
    </row>
    <row r="191" spans="1:1" ht="15.75" customHeight="1">
      <c r="A191" s="47"/>
    </row>
    <row r="192" spans="1:1" ht="15.75" customHeight="1">
      <c r="A192" s="47"/>
    </row>
    <row r="193" spans="1:1" ht="15.75" customHeight="1">
      <c r="A193" s="47"/>
    </row>
    <row r="194" spans="1:1" ht="15.75" customHeight="1">
      <c r="A194" s="47"/>
    </row>
    <row r="195" spans="1:1" ht="15.75" customHeight="1">
      <c r="A195" s="47"/>
    </row>
    <row r="196" spans="1:1" ht="15.75" customHeight="1">
      <c r="A196" s="47"/>
    </row>
    <row r="197" spans="1:1" ht="15.75" customHeight="1">
      <c r="A197" s="47"/>
    </row>
    <row r="198" spans="1:1" ht="15.75" customHeight="1">
      <c r="A198" s="47"/>
    </row>
    <row r="199" spans="1:1" ht="15.75" customHeight="1">
      <c r="A199" s="47"/>
    </row>
    <row r="200" spans="1:1" ht="15.75" customHeight="1">
      <c r="A200" s="47"/>
    </row>
    <row r="201" spans="1:1" ht="15.75" customHeight="1">
      <c r="A201" s="47"/>
    </row>
    <row r="202" spans="1:1" ht="15.75" customHeight="1">
      <c r="A202" s="47"/>
    </row>
    <row r="203" spans="1:1" ht="15.75" customHeight="1">
      <c r="A203" s="47"/>
    </row>
    <row r="204" spans="1:1" ht="15.75" customHeight="1">
      <c r="A204" s="47"/>
    </row>
    <row r="205" spans="1:1" ht="15.75" customHeight="1">
      <c r="A205" s="47"/>
    </row>
    <row r="206" spans="1:1" ht="15.75" customHeight="1">
      <c r="A206" s="47"/>
    </row>
    <row r="207" spans="1:1" ht="15.75" customHeight="1">
      <c r="A207" s="47"/>
    </row>
    <row r="208" spans="1:1" ht="15.75" customHeight="1">
      <c r="A208" s="47"/>
    </row>
    <row r="209" spans="1:1" ht="15.75" customHeight="1">
      <c r="A209" s="47"/>
    </row>
    <row r="210" spans="1:1" ht="15.75" customHeight="1">
      <c r="A210" s="47"/>
    </row>
    <row r="211" spans="1:1" ht="15.75" customHeight="1">
      <c r="A211" s="47"/>
    </row>
    <row r="212" spans="1:1" ht="15.75" customHeight="1">
      <c r="A212" s="47"/>
    </row>
    <row r="213" spans="1:1" ht="15.75" customHeight="1">
      <c r="A213" s="47"/>
    </row>
    <row r="214" spans="1:1" ht="15.75" customHeight="1">
      <c r="A214" s="47"/>
    </row>
    <row r="215" spans="1:1" ht="15.75" customHeight="1">
      <c r="A215" s="47"/>
    </row>
    <row r="216" spans="1:1" ht="15.75" customHeight="1">
      <c r="A216" s="47"/>
    </row>
    <row r="217" spans="1:1" ht="15.75" customHeight="1">
      <c r="A217" s="47"/>
    </row>
    <row r="218" spans="1:1" ht="15.75" customHeight="1">
      <c r="A218" s="47"/>
    </row>
    <row r="219" spans="1:1" ht="15.75" customHeight="1">
      <c r="A219" s="47"/>
    </row>
    <row r="220" spans="1:1" ht="15.75" customHeight="1">
      <c r="A220" s="47"/>
    </row>
    <row r="221" spans="1:1" ht="15.75" customHeight="1">
      <c r="A221" s="47"/>
    </row>
    <row r="222" spans="1:1" ht="15.75" customHeight="1">
      <c r="A222" s="47"/>
    </row>
    <row r="223" spans="1:1" ht="15.75" customHeight="1">
      <c r="A223" s="47"/>
    </row>
    <row r="224" spans="1:1" ht="15.75" customHeight="1">
      <c r="A224" s="47"/>
    </row>
    <row r="225" spans="1:1" ht="15.75" customHeight="1">
      <c r="A225" s="47"/>
    </row>
    <row r="226" spans="1:1" ht="15.75" customHeight="1">
      <c r="A226" s="47"/>
    </row>
    <row r="227" spans="1:1" ht="15.75" customHeight="1">
      <c r="A227" s="47"/>
    </row>
    <row r="228" spans="1:1" ht="15.75" customHeight="1">
      <c r="A228" s="47"/>
    </row>
    <row r="229" spans="1:1" ht="15.75" customHeight="1">
      <c r="A229" s="47"/>
    </row>
    <row r="230" spans="1:1" ht="15.75" customHeight="1">
      <c r="A230" s="47"/>
    </row>
    <row r="231" spans="1:1" ht="15.75" customHeight="1">
      <c r="A231" s="47"/>
    </row>
    <row r="232" spans="1:1" ht="15.75" customHeight="1">
      <c r="A232" s="47"/>
    </row>
    <row r="233" spans="1:1" ht="15.75" customHeight="1">
      <c r="A233" s="47"/>
    </row>
    <row r="234" spans="1:1" ht="15.75" customHeight="1">
      <c r="A234" s="47"/>
    </row>
    <row r="235" spans="1:1" ht="15.75" customHeight="1">
      <c r="A235" s="47"/>
    </row>
    <row r="236" spans="1:1" ht="15.75" customHeight="1">
      <c r="A236" s="47"/>
    </row>
    <row r="237" spans="1:1" ht="15.75" customHeight="1">
      <c r="A237" s="47"/>
    </row>
    <row r="238" spans="1:1" ht="15.75" customHeight="1">
      <c r="A238" s="47"/>
    </row>
    <row r="239" spans="1:1" ht="15.75" customHeight="1">
      <c r="A239" s="47"/>
    </row>
    <row r="240" spans="1:1" ht="15.75" customHeight="1">
      <c r="A240" s="47"/>
    </row>
    <row r="241" spans="1:1" ht="15.75" customHeight="1">
      <c r="A241" s="47"/>
    </row>
    <row r="242" spans="1:1" ht="15.75" customHeight="1">
      <c r="A242" s="47"/>
    </row>
    <row r="243" spans="1:1" ht="15.75" customHeight="1">
      <c r="A243" s="47"/>
    </row>
    <row r="244" spans="1:1" ht="15.75" customHeight="1">
      <c r="A244" s="47"/>
    </row>
    <row r="245" spans="1:1" ht="15.75" customHeight="1">
      <c r="A245" s="47"/>
    </row>
    <row r="246" spans="1:1" ht="15.75" customHeight="1">
      <c r="A246" s="47"/>
    </row>
    <row r="247" spans="1:1" ht="15.75" customHeight="1">
      <c r="A247" s="47"/>
    </row>
    <row r="248" spans="1:1" ht="15.75" customHeight="1">
      <c r="A248" s="47"/>
    </row>
    <row r="249" spans="1:1" ht="15.75" customHeight="1">
      <c r="A249" s="47"/>
    </row>
    <row r="250" spans="1:1" ht="15.75" customHeight="1">
      <c r="A250" s="47"/>
    </row>
    <row r="251" spans="1:1" ht="15.75" customHeight="1">
      <c r="A251" s="47"/>
    </row>
    <row r="252" spans="1:1" ht="15.75" customHeight="1">
      <c r="A252" s="47"/>
    </row>
    <row r="253" spans="1:1" ht="15.75" customHeight="1">
      <c r="A253" s="47"/>
    </row>
    <row r="254" spans="1:1" ht="15.75" customHeight="1">
      <c r="A254" s="47"/>
    </row>
    <row r="255" spans="1:1" ht="15.75" customHeight="1">
      <c r="A255" s="47"/>
    </row>
    <row r="256" spans="1:1" ht="15.75" customHeight="1">
      <c r="A256" s="47"/>
    </row>
    <row r="257" spans="1:1" ht="15.75" customHeight="1">
      <c r="A257" s="47"/>
    </row>
    <row r="258" spans="1:1" ht="15.75" customHeight="1">
      <c r="A258" s="47"/>
    </row>
    <row r="259" spans="1:1" ht="15.75" customHeight="1">
      <c r="A259" s="47"/>
    </row>
    <row r="260" spans="1:1" ht="15.75" customHeight="1">
      <c r="A260" s="47"/>
    </row>
    <row r="261" spans="1:1" ht="15.75" customHeight="1">
      <c r="A261" s="47"/>
    </row>
    <row r="262" spans="1:1" ht="15.75" customHeight="1">
      <c r="A262" s="47"/>
    </row>
    <row r="263" spans="1:1" ht="15.75" customHeight="1">
      <c r="A263" s="47"/>
    </row>
    <row r="264" spans="1:1" ht="15.75" customHeight="1">
      <c r="A264" s="47"/>
    </row>
    <row r="265" spans="1:1" ht="15.75" customHeight="1">
      <c r="A265" s="47"/>
    </row>
    <row r="266" spans="1:1" ht="15.75" customHeight="1">
      <c r="A266" s="47"/>
    </row>
    <row r="267" spans="1:1" ht="15.75" customHeight="1">
      <c r="A267" s="47"/>
    </row>
    <row r="268" spans="1:1" ht="15.75" customHeight="1">
      <c r="A268" s="47"/>
    </row>
    <row r="269" spans="1:1" ht="15.75" customHeight="1">
      <c r="A269" s="47"/>
    </row>
    <row r="270" spans="1:1" ht="15.75" customHeight="1">
      <c r="A270" s="47"/>
    </row>
    <row r="271" spans="1:1" ht="15.75" customHeight="1">
      <c r="A271" s="47"/>
    </row>
    <row r="272" spans="1:1" ht="15.75" customHeight="1">
      <c r="A272" s="47"/>
    </row>
    <row r="273" spans="1:1" ht="15.75" customHeight="1">
      <c r="A273" s="47"/>
    </row>
    <row r="274" spans="1:1" ht="15.75" customHeight="1">
      <c r="A274" s="47"/>
    </row>
    <row r="275" spans="1:1" ht="15.75" customHeight="1">
      <c r="A275" s="47"/>
    </row>
    <row r="276" spans="1:1" ht="15.75" customHeight="1">
      <c r="A276" s="47"/>
    </row>
    <row r="277" spans="1:1" ht="15.75" customHeight="1">
      <c r="A277" s="47"/>
    </row>
    <row r="278" spans="1:1" ht="15.75" customHeight="1">
      <c r="A278" s="47"/>
    </row>
    <row r="279" spans="1:1" ht="15.75" customHeight="1">
      <c r="A279" s="47"/>
    </row>
    <row r="280" spans="1:1" ht="15.75" customHeight="1">
      <c r="A280" s="47"/>
    </row>
    <row r="281" spans="1:1" ht="15.75" customHeight="1">
      <c r="A281" s="47"/>
    </row>
    <row r="282" spans="1:1" ht="15.75" customHeight="1">
      <c r="A282" s="47"/>
    </row>
    <row r="283" spans="1:1" ht="15.75" customHeight="1">
      <c r="A283" s="47"/>
    </row>
    <row r="284" spans="1:1" ht="15.75" customHeight="1">
      <c r="A284" s="47"/>
    </row>
    <row r="285" spans="1:1" ht="15.75" customHeight="1">
      <c r="A285" s="47"/>
    </row>
    <row r="286" spans="1:1" ht="15.75" customHeight="1">
      <c r="A286" s="47"/>
    </row>
    <row r="287" spans="1:1" ht="15.75" customHeight="1">
      <c r="A287" s="47"/>
    </row>
    <row r="288" spans="1:1" ht="15.75" customHeight="1">
      <c r="A288" s="47"/>
    </row>
    <row r="289" spans="1:1" ht="15.75" customHeight="1">
      <c r="A289" s="47"/>
    </row>
    <row r="290" spans="1:1" ht="15.75" customHeight="1">
      <c r="A290" s="47"/>
    </row>
    <row r="291" spans="1:1" ht="15.75" customHeight="1">
      <c r="A291" s="47"/>
    </row>
    <row r="292" spans="1:1" ht="15.75" customHeight="1">
      <c r="A292" s="47"/>
    </row>
    <row r="293" spans="1:1" ht="15.75" customHeight="1">
      <c r="A293" s="47"/>
    </row>
    <row r="294" spans="1:1" ht="15.75" customHeight="1">
      <c r="A294" s="47"/>
    </row>
    <row r="295" spans="1:1" ht="15.75" customHeight="1">
      <c r="A295" s="47"/>
    </row>
    <row r="296" spans="1:1" ht="15.75" customHeight="1">
      <c r="A296" s="47"/>
    </row>
    <row r="297" spans="1:1" ht="15.75" customHeight="1">
      <c r="A297" s="47"/>
    </row>
    <row r="298" spans="1:1" ht="15.75" customHeight="1">
      <c r="A298" s="47"/>
    </row>
    <row r="299" spans="1:1" ht="15.75" customHeight="1">
      <c r="A299" s="47"/>
    </row>
    <row r="300" spans="1:1" ht="15.75" customHeight="1">
      <c r="A300" s="47"/>
    </row>
    <row r="301" spans="1:1" ht="15.75" customHeight="1">
      <c r="A301" s="47"/>
    </row>
    <row r="302" spans="1:1" ht="15.75" customHeight="1">
      <c r="A302" s="47"/>
    </row>
    <row r="303" spans="1:1" ht="15.75" customHeight="1">
      <c r="A303" s="47"/>
    </row>
    <row r="304" spans="1:1" ht="15.75" customHeight="1">
      <c r="A304" s="47"/>
    </row>
    <row r="305" spans="1:1" ht="15.75" customHeight="1">
      <c r="A305" s="47"/>
    </row>
    <row r="306" spans="1:1" ht="15.75" customHeight="1">
      <c r="A306" s="47"/>
    </row>
    <row r="307" spans="1:1" ht="15.75" customHeight="1">
      <c r="A307" s="47"/>
    </row>
    <row r="308" spans="1:1" ht="15.75" customHeight="1">
      <c r="A308" s="47"/>
    </row>
    <row r="309" spans="1:1" ht="15.75" customHeight="1">
      <c r="A309" s="47"/>
    </row>
    <row r="310" spans="1:1" ht="15.75" customHeight="1">
      <c r="A310" s="47"/>
    </row>
    <row r="311" spans="1:1" ht="15.75" customHeight="1">
      <c r="A311" s="47"/>
    </row>
    <row r="312" spans="1:1" ht="15.75" customHeight="1">
      <c r="A312" s="47"/>
    </row>
    <row r="313" spans="1:1" ht="15.75" customHeight="1">
      <c r="A313" s="47"/>
    </row>
    <row r="314" spans="1:1" ht="15.75" customHeight="1">
      <c r="A314" s="47"/>
    </row>
    <row r="315" spans="1:1" ht="15.75" customHeight="1">
      <c r="A315" s="47"/>
    </row>
    <row r="316" spans="1:1" ht="15.75" customHeight="1">
      <c r="A316" s="47"/>
    </row>
    <row r="317" spans="1:1" ht="15.75" customHeight="1">
      <c r="A317" s="47"/>
    </row>
    <row r="318" spans="1:1" ht="15.75" customHeight="1">
      <c r="A318" s="47"/>
    </row>
    <row r="319" spans="1:1" ht="15.75" customHeight="1">
      <c r="A319" s="47"/>
    </row>
    <row r="320" spans="1:1" ht="15.75" customHeight="1">
      <c r="A320" s="47"/>
    </row>
    <row r="321" spans="1:1" ht="15.75" customHeight="1">
      <c r="A321" s="47"/>
    </row>
    <row r="322" spans="1:1" ht="15.75" customHeight="1">
      <c r="A322" s="47"/>
    </row>
    <row r="323" spans="1:1" ht="15.75" customHeight="1">
      <c r="A323" s="47"/>
    </row>
    <row r="324" spans="1:1" ht="15.75" customHeight="1">
      <c r="A324" s="47"/>
    </row>
    <row r="325" spans="1:1" ht="15.75" customHeight="1">
      <c r="A325" s="47"/>
    </row>
    <row r="326" spans="1:1" ht="15.75" customHeight="1">
      <c r="A326" s="47"/>
    </row>
    <row r="327" spans="1:1" ht="15.75" customHeight="1">
      <c r="A327" s="47"/>
    </row>
    <row r="328" spans="1:1" ht="15.75" customHeight="1">
      <c r="A328" s="47"/>
    </row>
    <row r="329" spans="1:1" ht="15.75" customHeight="1">
      <c r="A329" s="47"/>
    </row>
    <row r="330" spans="1:1" ht="15.75" customHeight="1">
      <c r="A330" s="47"/>
    </row>
    <row r="331" spans="1:1" ht="15.75" customHeight="1">
      <c r="A331" s="47"/>
    </row>
    <row r="332" spans="1:1" ht="15.75" customHeight="1">
      <c r="A332" s="47"/>
    </row>
    <row r="333" spans="1:1" ht="15.75" customHeight="1">
      <c r="A333" s="47"/>
    </row>
    <row r="334" spans="1:1" ht="15.75" customHeight="1">
      <c r="A334" s="47"/>
    </row>
    <row r="335" spans="1:1" ht="15.75" customHeight="1">
      <c r="A335" s="47"/>
    </row>
    <row r="336" spans="1:1" ht="15.75" customHeight="1">
      <c r="A336" s="47"/>
    </row>
    <row r="337" spans="1:1" ht="15.75" customHeight="1">
      <c r="A337" s="47"/>
    </row>
    <row r="338" spans="1:1" ht="15.75" customHeight="1">
      <c r="A338" s="47"/>
    </row>
    <row r="339" spans="1:1" ht="15.75" customHeight="1">
      <c r="A339" s="47"/>
    </row>
    <row r="340" spans="1:1" ht="15.75" customHeight="1">
      <c r="A340" s="47"/>
    </row>
    <row r="341" spans="1:1" ht="15.75" customHeight="1">
      <c r="A341" s="47"/>
    </row>
    <row r="342" spans="1:1" ht="15.75" customHeight="1">
      <c r="A342" s="47"/>
    </row>
    <row r="343" spans="1:1" ht="15.75" customHeight="1">
      <c r="A343" s="47"/>
    </row>
    <row r="344" spans="1:1" ht="15.75" customHeight="1">
      <c r="A344" s="47"/>
    </row>
    <row r="345" spans="1:1" ht="15.75" customHeight="1">
      <c r="A345" s="47"/>
    </row>
    <row r="346" spans="1:1" ht="15.75" customHeight="1">
      <c r="A346" s="47"/>
    </row>
    <row r="347" spans="1:1" ht="15.75" customHeight="1">
      <c r="A347" s="47"/>
    </row>
    <row r="348" spans="1:1" ht="15.75" customHeight="1">
      <c r="A348" s="47"/>
    </row>
    <row r="349" spans="1:1" ht="15.75" customHeight="1">
      <c r="A349" s="47"/>
    </row>
    <row r="350" spans="1:1" ht="15.75" customHeight="1">
      <c r="A350" s="47"/>
    </row>
    <row r="351" spans="1:1" ht="15.75" customHeight="1">
      <c r="A351" s="47"/>
    </row>
    <row r="352" spans="1:1" ht="15.75" customHeight="1">
      <c r="A352" s="47"/>
    </row>
    <row r="353" spans="1:1" ht="15.75" customHeight="1">
      <c r="A353" s="47"/>
    </row>
    <row r="354" spans="1:1" ht="15.75" customHeight="1">
      <c r="A354" s="47"/>
    </row>
    <row r="355" spans="1:1" ht="15.75" customHeight="1">
      <c r="A355" s="47"/>
    </row>
    <row r="356" spans="1:1" ht="15.75" customHeight="1">
      <c r="A356" s="47"/>
    </row>
    <row r="357" spans="1:1" ht="15.75" customHeight="1">
      <c r="A357" s="47"/>
    </row>
    <row r="358" spans="1:1" ht="15.75" customHeight="1">
      <c r="A358" s="47"/>
    </row>
    <row r="359" spans="1:1" ht="15.75" customHeight="1">
      <c r="A359" s="47"/>
    </row>
    <row r="360" spans="1:1" ht="15.75" customHeight="1">
      <c r="A360" s="47"/>
    </row>
    <row r="361" spans="1:1" ht="15.75" customHeight="1">
      <c r="A361" s="47"/>
    </row>
    <row r="362" spans="1:1" ht="15.75" customHeight="1">
      <c r="A362" s="47"/>
    </row>
    <row r="363" spans="1:1" ht="15.75" customHeight="1">
      <c r="A363" s="47"/>
    </row>
    <row r="364" spans="1:1" ht="15.75" customHeight="1">
      <c r="A364" s="47"/>
    </row>
    <row r="365" spans="1:1" ht="15.75" customHeight="1">
      <c r="A365" s="47"/>
    </row>
    <row r="366" spans="1:1" ht="15.75" customHeight="1">
      <c r="A366" s="47"/>
    </row>
    <row r="367" spans="1:1" ht="15.75" customHeight="1">
      <c r="A367" s="47"/>
    </row>
    <row r="368" spans="1:1" ht="15.75" customHeight="1">
      <c r="A368" s="47"/>
    </row>
    <row r="369" spans="1:1" ht="15.75" customHeight="1">
      <c r="A369" s="47"/>
    </row>
    <row r="370" spans="1:1" ht="15.75" customHeight="1">
      <c r="A370" s="47"/>
    </row>
    <row r="371" spans="1:1" ht="15.75" customHeight="1">
      <c r="A371" s="47"/>
    </row>
    <row r="372" spans="1:1" ht="15.75" customHeight="1">
      <c r="A372" s="47"/>
    </row>
    <row r="373" spans="1:1" ht="15.75" customHeight="1">
      <c r="A373" s="47"/>
    </row>
    <row r="374" spans="1:1" ht="15.75" customHeight="1">
      <c r="A374" s="47"/>
    </row>
    <row r="375" spans="1:1" ht="15.75" customHeight="1">
      <c r="A375" s="47"/>
    </row>
    <row r="376" spans="1:1" ht="15.75" customHeight="1">
      <c r="A376" s="47"/>
    </row>
    <row r="377" spans="1:1" ht="15.75" customHeight="1">
      <c r="A377" s="47"/>
    </row>
    <row r="378" spans="1:1" ht="15.75" customHeight="1">
      <c r="A378" s="47"/>
    </row>
    <row r="379" spans="1:1" ht="15.75" customHeight="1">
      <c r="A379" s="47"/>
    </row>
    <row r="380" spans="1:1" ht="15.75" customHeight="1">
      <c r="A380" s="47"/>
    </row>
    <row r="381" spans="1:1" ht="15.75" customHeight="1">
      <c r="A381" s="47"/>
    </row>
    <row r="382" spans="1:1" ht="15.75" customHeight="1">
      <c r="A382" s="47"/>
    </row>
    <row r="383" spans="1:1" ht="15.75" customHeight="1">
      <c r="A383" s="47"/>
    </row>
    <row r="384" spans="1:1" ht="15.75" customHeight="1">
      <c r="A384" s="47"/>
    </row>
    <row r="385" spans="1:1" ht="15.75" customHeight="1">
      <c r="A385" s="47"/>
    </row>
    <row r="386" spans="1:1" ht="15.75" customHeight="1">
      <c r="A386" s="47"/>
    </row>
    <row r="387" spans="1:1" ht="15.75" customHeight="1">
      <c r="A387" s="47"/>
    </row>
    <row r="388" spans="1:1" ht="15.75" customHeight="1">
      <c r="A388" s="47"/>
    </row>
    <row r="389" spans="1:1" ht="15.75" customHeight="1">
      <c r="A389" s="47"/>
    </row>
    <row r="390" spans="1:1" ht="15.75" customHeight="1">
      <c r="A390" s="47"/>
    </row>
    <row r="391" spans="1:1" ht="15.75" customHeight="1">
      <c r="A391" s="47"/>
    </row>
    <row r="392" spans="1:1" ht="15.75" customHeight="1">
      <c r="A392" s="47"/>
    </row>
    <row r="393" spans="1:1" ht="15.75" customHeight="1">
      <c r="A393" s="47"/>
    </row>
    <row r="394" spans="1:1" ht="15.75" customHeight="1">
      <c r="A394" s="47"/>
    </row>
    <row r="395" spans="1:1" ht="15.75" customHeight="1">
      <c r="A395" s="47"/>
    </row>
    <row r="396" spans="1:1" ht="15.75" customHeight="1">
      <c r="A396" s="47"/>
    </row>
    <row r="397" spans="1:1" ht="15.75" customHeight="1">
      <c r="A397" s="47"/>
    </row>
    <row r="398" spans="1:1" ht="15.75" customHeight="1">
      <c r="A398" s="47"/>
    </row>
    <row r="399" spans="1:1" ht="15.75" customHeight="1">
      <c r="A399" s="47"/>
    </row>
    <row r="400" spans="1:1" ht="15.75" customHeight="1">
      <c r="A400" s="47"/>
    </row>
    <row r="401" spans="1:1" ht="15.75" customHeight="1">
      <c r="A401" s="47"/>
    </row>
    <row r="402" spans="1:1" ht="15.75" customHeight="1">
      <c r="A402" s="47"/>
    </row>
    <row r="403" spans="1:1" ht="15.75" customHeight="1">
      <c r="A403" s="47"/>
    </row>
    <row r="404" spans="1:1" ht="15.75" customHeight="1">
      <c r="A404" s="47"/>
    </row>
    <row r="405" spans="1:1" ht="15.75" customHeight="1">
      <c r="A405" s="47"/>
    </row>
    <row r="406" spans="1:1" ht="15.75" customHeight="1">
      <c r="A406" s="47"/>
    </row>
    <row r="407" spans="1:1" ht="15.75" customHeight="1">
      <c r="A407" s="47"/>
    </row>
    <row r="408" spans="1:1" ht="15.75" customHeight="1">
      <c r="A408" s="47"/>
    </row>
    <row r="409" spans="1:1" ht="15.75" customHeight="1">
      <c r="A409" s="47"/>
    </row>
    <row r="410" spans="1:1" ht="15.75" customHeight="1">
      <c r="A410" s="47"/>
    </row>
    <row r="411" spans="1:1" ht="15.75" customHeight="1">
      <c r="A411" s="47"/>
    </row>
    <row r="412" spans="1:1" ht="15.75" customHeight="1">
      <c r="A412" s="47"/>
    </row>
    <row r="413" spans="1:1" ht="15.75" customHeight="1">
      <c r="A413" s="47"/>
    </row>
    <row r="414" spans="1:1" ht="15.75" customHeight="1">
      <c r="A414" s="47"/>
    </row>
    <row r="415" spans="1:1" ht="15.75" customHeight="1">
      <c r="A415" s="47"/>
    </row>
    <row r="416" spans="1:1" ht="15.75" customHeight="1">
      <c r="A416" s="47"/>
    </row>
    <row r="417" spans="1:1" ht="15.75" customHeight="1">
      <c r="A417" s="47"/>
    </row>
    <row r="418" spans="1:1" ht="15.75" customHeight="1">
      <c r="A418" s="47"/>
    </row>
    <row r="419" spans="1:1" ht="15.75" customHeight="1">
      <c r="A419" s="47"/>
    </row>
    <row r="420" spans="1:1" ht="15.75" customHeight="1">
      <c r="A420" s="47"/>
    </row>
    <row r="421" spans="1:1" ht="15.75" customHeight="1">
      <c r="A421" s="47"/>
    </row>
    <row r="422" spans="1:1" ht="15.75" customHeight="1">
      <c r="A422" s="47"/>
    </row>
    <row r="423" spans="1:1" ht="15.75" customHeight="1">
      <c r="A423" s="47"/>
    </row>
    <row r="424" spans="1:1" ht="15.75" customHeight="1">
      <c r="A424" s="47"/>
    </row>
    <row r="425" spans="1:1" ht="15.75" customHeight="1">
      <c r="A425" s="47"/>
    </row>
    <row r="426" spans="1:1" ht="15.75" customHeight="1">
      <c r="A426" s="47"/>
    </row>
    <row r="427" spans="1:1" ht="15.75" customHeight="1">
      <c r="A427" s="47"/>
    </row>
    <row r="428" spans="1:1" ht="15.75" customHeight="1">
      <c r="A428" s="47"/>
    </row>
    <row r="429" spans="1:1" ht="15.75" customHeight="1">
      <c r="A429" s="47"/>
    </row>
    <row r="430" spans="1:1" ht="15.75" customHeight="1">
      <c r="A430" s="47"/>
    </row>
    <row r="431" spans="1:1" ht="15.75" customHeight="1">
      <c r="A431" s="47"/>
    </row>
    <row r="432" spans="1:1" ht="15.75" customHeight="1">
      <c r="A432" s="47"/>
    </row>
    <row r="433" spans="1:1" ht="15.75" customHeight="1">
      <c r="A433" s="47"/>
    </row>
    <row r="434" spans="1:1" ht="15.75" customHeight="1">
      <c r="A434" s="47"/>
    </row>
    <row r="435" spans="1:1" ht="15.75" customHeight="1">
      <c r="A435" s="47"/>
    </row>
    <row r="436" spans="1:1" ht="15.75" customHeight="1">
      <c r="A436" s="47"/>
    </row>
    <row r="437" spans="1:1" ht="15.75" customHeight="1">
      <c r="A437" s="47"/>
    </row>
    <row r="438" spans="1:1" ht="15.75" customHeight="1">
      <c r="A438" s="47"/>
    </row>
    <row r="439" spans="1:1" ht="15.75" customHeight="1">
      <c r="A439" s="47"/>
    </row>
    <row r="440" spans="1:1" ht="15.75" customHeight="1">
      <c r="A440" s="47"/>
    </row>
    <row r="441" spans="1:1" ht="15.75" customHeight="1">
      <c r="A441" s="47"/>
    </row>
    <row r="442" spans="1:1" ht="15.75" customHeight="1">
      <c r="A442" s="47"/>
    </row>
    <row r="443" spans="1:1" ht="15.75" customHeight="1">
      <c r="A443" s="47"/>
    </row>
    <row r="444" spans="1:1" ht="15.75" customHeight="1">
      <c r="A444" s="47"/>
    </row>
    <row r="445" spans="1:1" ht="15.75" customHeight="1">
      <c r="A445" s="47"/>
    </row>
    <row r="446" spans="1:1" ht="15.75" customHeight="1">
      <c r="A446" s="47"/>
    </row>
    <row r="447" spans="1:1" ht="15.75" customHeight="1">
      <c r="A447" s="47"/>
    </row>
    <row r="448" spans="1:1" ht="15.75" customHeight="1">
      <c r="A448" s="47"/>
    </row>
    <row r="449" spans="1:1" ht="15.75" customHeight="1">
      <c r="A449" s="47"/>
    </row>
    <row r="450" spans="1:1" ht="15.75" customHeight="1">
      <c r="A450" s="47"/>
    </row>
    <row r="451" spans="1:1" ht="15.75" customHeight="1">
      <c r="A451" s="47"/>
    </row>
    <row r="452" spans="1:1" ht="15.75" customHeight="1">
      <c r="A452" s="47"/>
    </row>
    <row r="453" spans="1:1" ht="15.75" customHeight="1">
      <c r="A453" s="47"/>
    </row>
    <row r="454" spans="1:1" ht="15.75" customHeight="1">
      <c r="A454" s="47"/>
    </row>
    <row r="455" spans="1:1" ht="15.75" customHeight="1">
      <c r="A455" s="47"/>
    </row>
    <row r="456" spans="1:1" ht="15.75" customHeight="1">
      <c r="A456" s="47"/>
    </row>
    <row r="457" spans="1:1" ht="15.75" customHeight="1">
      <c r="A457" s="47"/>
    </row>
    <row r="458" spans="1:1" ht="15.75" customHeight="1">
      <c r="A458" s="47"/>
    </row>
    <row r="459" spans="1:1" ht="15.75" customHeight="1">
      <c r="A459" s="47"/>
    </row>
    <row r="460" spans="1:1" ht="15.75" customHeight="1">
      <c r="A460" s="47"/>
    </row>
    <row r="461" spans="1:1" ht="15.75" customHeight="1">
      <c r="A461" s="47"/>
    </row>
    <row r="462" spans="1:1" ht="15.75" customHeight="1">
      <c r="A462" s="47"/>
    </row>
    <row r="463" spans="1:1" ht="15.75" customHeight="1">
      <c r="A463" s="47"/>
    </row>
    <row r="464" spans="1:1" ht="15.75" customHeight="1">
      <c r="A464" s="47"/>
    </row>
    <row r="465" spans="1:1" ht="15.75" customHeight="1">
      <c r="A465" s="47"/>
    </row>
    <row r="466" spans="1:1" ht="15.75" customHeight="1">
      <c r="A466" s="47"/>
    </row>
    <row r="467" spans="1:1" ht="15.75" customHeight="1">
      <c r="A467" s="47"/>
    </row>
    <row r="468" spans="1:1" ht="15.75" customHeight="1">
      <c r="A468" s="47"/>
    </row>
    <row r="469" spans="1:1" ht="15.75" customHeight="1">
      <c r="A469" s="47"/>
    </row>
    <row r="470" spans="1:1" ht="15.75" customHeight="1">
      <c r="A470" s="47"/>
    </row>
    <row r="471" spans="1:1" ht="15.75" customHeight="1">
      <c r="A471" s="47"/>
    </row>
    <row r="472" spans="1:1" ht="15.75" customHeight="1">
      <c r="A472" s="47"/>
    </row>
    <row r="473" spans="1:1" ht="15.75" customHeight="1">
      <c r="A473" s="47"/>
    </row>
    <row r="474" spans="1:1" ht="15.75" customHeight="1">
      <c r="A474" s="47"/>
    </row>
    <row r="475" spans="1:1" ht="15.75" customHeight="1">
      <c r="A475" s="47"/>
    </row>
    <row r="476" spans="1:1" ht="15.75" customHeight="1">
      <c r="A476" s="47"/>
    </row>
    <row r="477" spans="1:1" ht="15.75" customHeight="1">
      <c r="A477" s="47"/>
    </row>
    <row r="478" spans="1:1" ht="15.75" customHeight="1">
      <c r="A478" s="47"/>
    </row>
    <row r="479" spans="1:1" ht="15.75" customHeight="1">
      <c r="A479" s="47"/>
    </row>
    <row r="480" spans="1:1" ht="15.75" customHeight="1">
      <c r="A480" s="47"/>
    </row>
    <row r="481" spans="1:1" ht="15.75" customHeight="1">
      <c r="A481" s="47"/>
    </row>
    <row r="482" spans="1:1" ht="15.75" customHeight="1">
      <c r="A482" s="47"/>
    </row>
    <row r="483" spans="1:1" ht="15.75" customHeight="1">
      <c r="A483" s="47"/>
    </row>
    <row r="484" spans="1:1" ht="15.75" customHeight="1">
      <c r="A484" s="47"/>
    </row>
    <row r="485" spans="1:1" ht="15.75" customHeight="1">
      <c r="A485" s="47"/>
    </row>
    <row r="486" spans="1:1" ht="15.75" customHeight="1">
      <c r="A486" s="47"/>
    </row>
    <row r="487" spans="1:1" ht="15.75" customHeight="1">
      <c r="A487" s="47"/>
    </row>
    <row r="488" spans="1:1" ht="15.75" customHeight="1">
      <c r="A488" s="47"/>
    </row>
    <row r="489" spans="1:1" ht="15.75" customHeight="1">
      <c r="A489" s="47"/>
    </row>
    <row r="490" spans="1:1" ht="15.75" customHeight="1">
      <c r="A490" s="47"/>
    </row>
    <row r="491" spans="1:1" ht="15.75" customHeight="1">
      <c r="A491" s="47"/>
    </row>
    <row r="492" spans="1:1" ht="15.75" customHeight="1">
      <c r="A492" s="47"/>
    </row>
    <row r="493" spans="1:1" ht="15.75" customHeight="1">
      <c r="A493" s="47"/>
    </row>
    <row r="494" spans="1:1" ht="15.75" customHeight="1">
      <c r="A494" s="47"/>
    </row>
    <row r="495" spans="1:1" ht="15.75" customHeight="1">
      <c r="A495" s="47"/>
    </row>
    <row r="496" spans="1:1" ht="15.75" customHeight="1">
      <c r="A496" s="47"/>
    </row>
    <row r="497" spans="1:1" ht="15.75" customHeight="1">
      <c r="A497" s="47"/>
    </row>
    <row r="498" spans="1:1" ht="15.75" customHeight="1">
      <c r="A498" s="47"/>
    </row>
    <row r="499" spans="1:1" ht="15.75" customHeight="1">
      <c r="A499" s="47"/>
    </row>
    <row r="500" spans="1:1" ht="15.75" customHeight="1">
      <c r="A500" s="47"/>
    </row>
    <row r="501" spans="1:1" ht="15.75" customHeight="1">
      <c r="A501" s="47"/>
    </row>
    <row r="502" spans="1:1" ht="15.75" customHeight="1">
      <c r="A502" s="47"/>
    </row>
    <row r="503" spans="1:1" ht="15.75" customHeight="1">
      <c r="A503" s="47"/>
    </row>
    <row r="504" spans="1:1" ht="15.75" customHeight="1">
      <c r="A504" s="47"/>
    </row>
    <row r="505" spans="1:1" ht="15.75" customHeight="1">
      <c r="A505" s="47"/>
    </row>
    <row r="506" spans="1:1" ht="15.75" customHeight="1">
      <c r="A506" s="47"/>
    </row>
    <row r="507" spans="1:1" ht="15.75" customHeight="1">
      <c r="A507" s="47"/>
    </row>
    <row r="508" spans="1:1" ht="15.75" customHeight="1">
      <c r="A508" s="47"/>
    </row>
    <row r="509" spans="1:1" ht="15.75" customHeight="1">
      <c r="A509" s="47"/>
    </row>
    <row r="510" spans="1:1" ht="15.75" customHeight="1">
      <c r="A510" s="47"/>
    </row>
    <row r="511" spans="1:1" ht="15.75" customHeight="1">
      <c r="A511" s="47"/>
    </row>
    <row r="512" spans="1:1" ht="15.75" customHeight="1">
      <c r="A512" s="47"/>
    </row>
    <row r="513" spans="1:1" ht="15.75" customHeight="1">
      <c r="A513" s="47"/>
    </row>
    <row r="514" spans="1:1" ht="15.75" customHeight="1">
      <c r="A514" s="47"/>
    </row>
    <row r="515" spans="1:1" ht="15.75" customHeight="1">
      <c r="A515" s="47"/>
    </row>
    <row r="516" spans="1:1" ht="15.75" customHeight="1">
      <c r="A516" s="47"/>
    </row>
    <row r="517" spans="1:1" ht="15.75" customHeight="1">
      <c r="A517" s="47"/>
    </row>
    <row r="518" spans="1:1" ht="15.75" customHeight="1">
      <c r="A518" s="47"/>
    </row>
    <row r="519" spans="1:1" ht="15.75" customHeight="1">
      <c r="A519" s="47"/>
    </row>
    <row r="520" spans="1:1" ht="15.75" customHeight="1">
      <c r="A520" s="47"/>
    </row>
    <row r="521" spans="1:1" ht="15.75" customHeight="1">
      <c r="A521" s="47"/>
    </row>
    <row r="522" spans="1:1" ht="15.75" customHeight="1">
      <c r="A522" s="47"/>
    </row>
    <row r="523" spans="1:1" ht="15.75" customHeight="1">
      <c r="A523" s="47"/>
    </row>
    <row r="524" spans="1:1" ht="15.75" customHeight="1">
      <c r="A524" s="47"/>
    </row>
    <row r="525" spans="1:1" ht="15.75" customHeight="1">
      <c r="A525" s="47"/>
    </row>
    <row r="526" spans="1:1" ht="15.75" customHeight="1">
      <c r="A526" s="47"/>
    </row>
    <row r="527" spans="1:1" ht="15.75" customHeight="1">
      <c r="A527" s="47"/>
    </row>
    <row r="528" spans="1:1" ht="15.75" customHeight="1">
      <c r="A528" s="47"/>
    </row>
    <row r="529" spans="1:1" ht="15.75" customHeight="1">
      <c r="A529" s="47"/>
    </row>
    <row r="530" spans="1:1" ht="15.75" customHeight="1">
      <c r="A530" s="47"/>
    </row>
    <row r="531" spans="1:1" ht="15.75" customHeight="1">
      <c r="A531" s="47"/>
    </row>
    <row r="532" spans="1:1" ht="15.75" customHeight="1">
      <c r="A532" s="47"/>
    </row>
    <row r="533" spans="1:1" ht="15.75" customHeight="1">
      <c r="A533" s="47"/>
    </row>
    <row r="534" spans="1:1" ht="15.75" customHeight="1">
      <c r="A534" s="47"/>
    </row>
    <row r="535" spans="1:1" ht="15.75" customHeight="1">
      <c r="A535" s="47"/>
    </row>
    <row r="536" spans="1:1" ht="15.75" customHeight="1">
      <c r="A536" s="47"/>
    </row>
    <row r="537" spans="1:1" ht="15.75" customHeight="1">
      <c r="A537" s="47"/>
    </row>
    <row r="538" spans="1:1" ht="15.75" customHeight="1">
      <c r="A538" s="47"/>
    </row>
    <row r="539" spans="1:1" ht="15.75" customHeight="1">
      <c r="A539" s="47"/>
    </row>
    <row r="540" spans="1:1" ht="15.75" customHeight="1">
      <c r="A540" s="47"/>
    </row>
    <row r="541" spans="1:1" ht="15.75" customHeight="1">
      <c r="A541" s="47"/>
    </row>
    <row r="542" spans="1:1" ht="15.75" customHeight="1">
      <c r="A542" s="47"/>
    </row>
    <row r="543" spans="1:1" ht="15.75" customHeight="1">
      <c r="A543" s="47"/>
    </row>
    <row r="544" spans="1:1" ht="15.75" customHeight="1">
      <c r="A544" s="47"/>
    </row>
    <row r="545" spans="1:1" ht="15.75" customHeight="1">
      <c r="A545" s="47"/>
    </row>
    <row r="546" spans="1:1" ht="15.75" customHeight="1">
      <c r="A546" s="47"/>
    </row>
    <row r="547" spans="1:1" ht="15.75" customHeight="1">
      <c r="A547" s="47"/>
    </row>
    <row r="548" spans="1:1" ht="15.75" customHeight="1">
      <c r="A548" s="47"/>
    </row>
    <row r="549" spans="1:1" ht="15.75" customHeight="1">
      <c r="A549" s="47"/>
    </row>
    <row r="550" spans="1:1" ht="15.75" customHeight="1">
      <c r="A550" s="47"/>
    </row>
    <row r="551" spans="1:1" ht="15.75" customHeight="1">
      <c r="A551" s="47"/>
    </row>
    <row r="552" spans="1:1" ht="15.75" customHeight="1">
      <c r="A552" s="47"/>
    </row>
    <row r="553" spans="1:1" ht="15.75" customHeight="1">
      <c r="A553" s="47"/>
    </row>
    <row r="554" spans="1:1" ht="15.75" customHeight="1">
      <c r="A554" s="47"/>
    </row>
    <row r="555" spans="1:1" ht="15.75" customHeight="1">
      <c r="A555" s="47"/>
    </row>
    <row r="556" spans="1:1" ht="15.75" customHeight="1">
      <c r="A556" s="47"/>
    </row>
    <row r="557" spans="1:1" ht="15.75" customHeight="1">
      <c r="A557" s="47"/>
    </row>
    <row r="558" spans="1:1" ht="15.75" customHeight="1">
      <c r="A558" s="47"/>
    </row>
    <row r="559" spans="1:1" ht="15.75" customHeight="1">
      <c r="A559" s="47"/>
    </row>
    <row r="560" spans="1:1" ht="15.75" customHeight="1">
      <c r="A560" s="47"/>
    </row>
    <row r="561" spans="1:1" ht="15.75" customHeight="1">
      <c r="A561" s="47"/>
    </row>
    <row r="562" spans="1:1" ht="15.75" customHeight="1">
      <c r="A562" s="47"/>
    </row>
    <row r="563" spans="1:1" ht="15.75" customHeight="1">
      <c r="A563" s="47"/>
    </row>
    <row r="564" spans="1:1" ht="15.75" customHeight="1">
      <c r="A564" s="47"/>
    </row>
    <row r="565" spans="1:1" ht="15.75" customHeight="1">
      <c r="A565" s="47"/>
    </row>
    <row r="566" spans="1:1" ht="15.75" customHeight="1">
      <c r="A566" s="47"/>
    </row>
    <row r="567" spans="1:1" ht="15.75" customHeight="1">
      <c r="A567" s="47"/>
    </row>
    <row r="568" spans="1:1" ht="15.75" customHeight="1">
      <c r="A568" s="47"/>
    </row>
    <row r="569" spans="1:1" ht="15.75" customHeight="1">
      <c r="A569" s="47"/>
    </row>
    <row r="570" spans="1:1" ht="15.75" customHeight="1">
      <c r="A570" s="47"/>
    </row>
    <row r="571" spans="1:1" ht="15.75" customHeight="1">
      <c r="A571" s="47"/>
    </row>
    <row r="572" spans="1:1" ht="15.75" customHeight="1">
      <c r="A572" s="47"/>
    </row>
    <row r="573" spans="1:1" ht="15.75" customHeight="1">
      <c r="A573" s="47"/>
    </row>
    <row r="574" spans="1:1" ht="15.75" customHeight="1">
      <c r="A574" s="47"/>
    </row>
    <row r="575" spans="1:1" ht="15.75" customHeight="1">
      <c r="A575" s="47"/>
    </row>
    <row r="576" spans="1:1" ht="15.75" customHeight="1">
      <c r="A576" s="47"/>
    </row>
    <row r="577" spans="1:1" ht="15.75" customHeight="1">
      <c r="A577" s="47"/>
    </row>
    <row r="578" spans="1:1" ht="15.75" customHeight="1">
      <c r="A578" s="47"/>
    </row>
    <row r="579" spans="1:1" ht="15.75" customHeight="1">
      <c r="A579" s="47"/>
    </row>
    <row r="580" spans="1:1" ht="15.75" customHeight="1">
      <c r="A580" s="47"/>
    </row>
    <row r="581" spans="1:1" ht="15.75" customHeight="1">
      <c r="A581" s="47"/>
    </row>
    <row r="582" spans="1:1" ht="15.75" customHeight="1">
      <c r="A582" s="47"/>
    </row>
    <row r="583" spans="1:1" ht="15.75" customHeight="1">
      <c r="A583" s="47"/>
    </row>
    <row r="584" spans="1:1" ht="15.75" customHeight="1">
      <c r="A584" s="47"/>
    </row>
    <row r="585" spans="1:1" ht="15.75" customHeight="1">
      <c r="A585" s="47"/>
    </row>
    <row r="586" spans="1:1" ht="15.75" customHeight="1">
      <c r="A586" s="47"/>
    </row>
    <row r="587" spans="1:1" ht="15.75" customHeight="1">
      <c r="A587" s="47"/>
    </row>
    <row r="588" spans="1:1" ht="15.75" customHeight="1">
      <c r="A588" s="47"/>
    </row>
    <row r="589" spans="1:1" ht="15.75" customHeight="1">
      <c r="A589" s="47"/>
    </row>
    <row r="590" spans="1:1" ht="15.75" customHeight="1">
      <c r="A590" s="47"/>
    </row>
    <row r="591" spans="1:1" ht="15.75" customHeight="1">
      <c r="A591" s="47"/>
    </row>
    <row r="592" spans="1:1" ht="15.75" customHeight="1">
      <c r="A592" s="47"/>
    </row>
    <row r="593" spans="1:1" ht="15.75" customHeight="1">
      <c r="A593" s="47"/>
    </row>
    <row r="594" spans="1:1" ht="15.75" customHeight="1">
      <c r="A594" s="47"/>
    </row>
    <row r="595" spans="1:1" ht="15.75" customHeight="1">
      <c r="A595" s="47"/>
    </row>
    <row r="596" spans="1:1" ht="15.75" customHeight="1">
      <c r="A596" s="47"/>
    </row>
    <row r="597" spans="1:1" ht="15.75" customHeight="1">
      <c r="A597" s="47"/>
    </row>
    <row r="598" spans="1:1" ht="15.75" customHeight="1">
      <c r="A598" s="47"/>
    </row>
    <row r="599" spans="1:1" ht="15.75" customHeight="1">
      <c r="A599" s="47"/>
    </row>
    <row r="600" spans="1:1" ht="15.75" customHeight="1">
      <c r="A600" s="47"/>
    </row>
    <row r="601" spans="1:1" ht="15.75" customHeight="1">
      <c r="A601" s="47"/>
    </row>
    <row r="602" spans="1:1" ht="15.75" customHeight="1">
      <c r="A602" s="47"/>
    </row>
    <row r="603" spans="1:1" ht="15.75" customHeight="1">
      <c r="A603" s="47"/>
    </row>
    <row r="604" spans="1:1" ht="15.75" customHeight="1">
      <c r="A604" s="47"/>
    </row>
    <row r="605" spans="1:1" ht="15.75" customHeight="1">
      <c r="A605" s="47"/>
    </row>
    <row r="606" spans="1:1" ht="15.75" customHeight="1">
      <c r="A606" s="47"/>
    </row>
    <row r="607" spans="1:1" ht="15.75" customHeight="1">
      <c r="A607" s="47"/>
    </row>
    <row r="608" spans="1:1" ht="15.75" customHeight="1">
      <c r="A608" s="47"/>
    </row>
    <row r="609" spans="1:1" ht="15.75" customHeight="1">
      <c r="A609" s="47"/>
    </row>
    <row r="610" spans="1:1" ht="15.75" customHeight="1">
      <c r="A610" s="47"/>
    </row>
    <row r="611" spans="1:1" ht="15.75" customHeight="1">
      <c r="A611" s="47"/>
    </row>
    <row r="612" spans="1:1" ht="15.75" customHeight="1">
      <c r="A612" s="47"/>
    </row>
    <row r="613" spans="1:1" ht="15.75" customHeight="1">
      <c r="A613" s="47"/>
    </row>
    <row r="614" spans="1:1" ht="15.75" customHeight="1">
      <c r="A614" s="47"/>
    </row>
    <row r="615" spans="1:1" ht="15.75" customHeight="1">
      <c r="A615" s="47"/>
    </row>
    <row r="616" spans="1:1" ht="15.75" customHeight="1">
      <c r="A616" s="47"/>
    </row>
    <row r="617" spans="1:1" ht="15.75" customHeight="1">
      <c r="A617" s="47"/>
    </row>
    <row r="618" spans="1:1" ht="15.75" customHeight="1">
      <c r="A618" s="47"/>
    </row>
    <row r="619" spans="1:1" ht="15.75" customHeight="1">
      <c r="A619" s="47"/>
    </row>
    <row r="620" spans="1:1" ht="15.75" customHeight="1">
      <c r="A620" s="47"/>
    </row>
    <row r="621" spans="1:1" ht="15.75" customHeight="1">
      <c r="A621" s="47"/>
    </row>
    <row r="622" spans="1:1" ht="15.75" customHeight="1">
      <c r="A622" s="47"/>
    </row>
    <row r="623" spans="1:1" ht="15.75" customHeight="1">
      <c r="A623" s="47"/>
    </row>
    <row r="624" spans="1:1" ht="15.75" customHeight="1">
      <c r="A624" s="47"/>
    </row>
    <row r="625" spans="1:1" ht="15.75" customHeight="1">
      <c r="A625" s="47"/>
    </row>
    <row r="626" spans="1:1" ht="15.75" customHeight="1">
      <c r="A626" s="47"/>
    </row>
    <row r="627" spans="1:1" ht="15.75" customHeight="1">
      <c r="A627" s="47"/>
    </row>
    <row r="628" spans="1:1" ht="15.75" customHeight="1">
      <c r="A628" s="47"/>
    </row>
    <row r="629" spans="1:1" ht="15.75" customHeight="1">
      <c r="A629" s="47"/>
    </row>
    <row r="630" spans="1:1" ht="15.75" customHeight="1">
      <c r="A630" s="47"/>
    </row>
    <row r="631" spans="1:1" ht="15.75" customHeight="1">
      <c r="A631" s="47"/>
    </row>
    <row r="632" spans="1:1" ht="15.75" customHeight="1">
      <c r="A632" s="47"/>
    </row>
    <row r="633" spans="1:1" ht="15.75" customHeight="1">
      <c r="A633" s="47"/>
    </row>
    <row r="634" spans="1:1" ht="15.75" customHeight="1">
      <c r="A634" s="47"/>
    </row>
    <row r="635" spans="1:1" ht="15.75" customHeight="1">
      <c r="A635" s="47"/>
    </row>
    <row r="636" spans="1:1" ht="15.75" customHeight="1">
      <c r="A636" s="47"/>
    </row>
    <row r="637" spans="1:1" ht="15.75" customHeight="1">
      <c r="A637" s="47"/>
    </row>
    <row r="638" spans="1:1" ht="15.75" customHeight="1">
      <c r="A638" s="47"/>
    </row>
    <row r="639" spans="1:1" ht="15.75" customHeight="1">
      <c r="A639" s="47"/>
    </row>
    <row r="640" spans="1:1" ht="15.75" customHeight="1">
      <c r="A640" s="47"/>
    </row>
    <row r="641" spans="1:1" ht="15.75" customHeight="1">
      <c r="A641" s="47"/>
    </row>
    <row r="642" spans="1:1" ht="15.75" customHeight="1">
      <c r="A642" s="47"/>
    </row>
    <row r="643" spans="1:1" ht="15.75" customHeight="1">
      <c r="A643" s="47"/>
    </row>
    <row r="644" spans="1:1" ht="15.75" customHeight="1">
      <c r="A644" s="47"/>
    </row>
    <row r="645" spans="1:1" ht="15.75" customHeight="1">
      <c r="A645" s="47"/>
    </row>
    <row r="646" spans="1:1" ht="15.75" customHeight="1">
      <c r="A646" s="47"/>
    </row>
    <row r="647" spans="1:1" ht="15.75" customHeight="1">
      <c r="A647" s="47"/>
    </row>
    <row r="648" spans="1:1" ht="15.75" customHeight="1">
      <c r="A648" s="47"/>
    </row>
    <row r="649" spans="1:1" ht="15.75" customHeight="1">
      <c r="A649" s="47"/>
    </row>
    <row r="650" spans="1:1" ht="15.75" customHeight="1">
      <c r="A650" s="47"/>
    </row>
    <row r="651" spans="1:1" ht="15.75" customHeight="1">
      <c r="A651" s="47"/>
    </row>
    <row r="652" spans="1:1" ht="15.75" customHeight="1">
      <c r="A652" s="47"/>
    </row>
    <row r="653" spans="1:1" ht="15.75" customHeight="1">
      <c r="A653" s="47"/>
    </row>
    <row r="654" spans="1:1" ht="15.75" customHeight="1">
      <c r="A654" s="47"/>
    </row>
    <row r="655" spans="1:1" ht="15.75" customHeight="1">
      <c r="A655" s="47"/>
    </row>
    <row r="656" spans="1:1" ht="15.75" customHeight="1">
      <c r="A656" s="47"/>
    </row>
    <row r="657" spans="1:1" ht="15.75" customHeight="1">
      <c r="A657" s="47"/>
    </row>
    <row r="658" spans="1:1" ht="15.75" customHeight="1">
      <c r="A658" s="47"/>
    </row>
    <row r="659" spans="1:1" ht="15.75" customHeight="1">
      <c r="A659" s="47"/>
    </row>
    <row r="660" spans="1:1" ht="15.75" customHeight="1">
      <c r="A660" s="47"/>
    </row>
    <row r="661" spans="1:1" ht="15.75" customHeight="1">
      <c r="A661" s="47"/>
    </row>
    <row r="662" spans="1:1" ht="15.75" customHeight="1">
      <c r="A662" s="47"/>
    </row>
    <row r="663" spans="1:1" ht="15.75" customHeight="1">
      <c r="A663" s="47"/>
    </row>
    <row r="664" spans="1:1" ht="15.75" customHeight="1">
      <c r="A664" s="47"/>
    </row>
    <row r="665" spans="1:1" ht="15.75" customHeight="1">
      <c r="A665" s="47"/>
    </row>
    <row r="666" spans="1:1" ht="15.75" customHeight="1">
      <c r="A666" s="47"/>
    </row>
    <row r="667" spans="1:1" ht="15.75" customHeight="1">
      <c r="A667" s="47"/>
    </row>
    <row r="668" spans="1:1" ht="15.75" customHeight="1">
      <c r="A668" s="47"/>
    </row>
    <row r="669" spans="1:1" ht="15.75" customHeight="1">
      <c r="A669" s="47"/>
    </row>
    <row r="670" spans="1:1" ht="15.75" customHeight="1">
      <c r="A670" s="47"/>
    </row>
    <row r="671" spans="1:1" ht="15.75" customHeight="1">
      <c r="A671" s="47"/>
    </row>
    <row r="672" spans="1:1" ht="15.75" customHeight="1">
      <c r="A672" s="47"/>
    </row>
    <row r="673" spans="1:1" ht="15.75" customHeight="1">
      <c r="A673" s="47"/>
    </row>
    <row r="674" spans="1:1" ht="15.75" customHeight="1">
      <c r="A674" s="47"/>
    </row>
    <row r="675" spans="1:1" ht="15.75" customHeight="1">
      <c r="A675" s="47"/>
    </row>
    <row r="676" spans="1:1" ht="15.75" customHeight="1">
      <c r="A676" s="47"/>
    </row>
    <row r="677" spans="1:1" ht="15.75" customHeight="1">
      <c r="A677" s="47"/>
    </row>
    <row r="678" spans="1:1" ht="15.75" customHeight="1">
      <c r="A678" s="47"/>
    </row>
    <row r="679" spans="1:1" ht="15.75" customHeight="1">
      <c r="A679" s="47"/>
    </row>
    <row r="680" spans="1:1" ht="15.75" customHeight="1">
      <c r="A680" s="47"/>
    </row>
    <row r="681" spans="1:1" ht="15.75" customHeight="1">
      <c r="A681" s="47"/>
    </row>
    <row r="682" spans="1:1" ht="15.75" customHeight="1">
      <c r="A682" s="47"/>
    </row>
    <row r="683" spans="1:1" ht="15.75" customHeight="1">
      <c r="A683" s="47"/>
    </row>
    <row r="684" spans="1:1" ht="15.75" customHeight="1">
      <c r="A684" s="47"/>
    </row>
    <row r="685" spans="1:1" ht="15.75" customHeight="1">
      <c r="A685" s="47"/>
    </row>
    <row r="686" spans="1:1" ht="15.75" customHeight="1">
      <c r="A686" s="47"/>
    </row>
    <row r="687" spans="1:1" ht="15.75" customHeight="1">
      <c r="A687" s="47"/>
    </row>
    <row r="688" spans="1:1" ht="15.75" customHeight="1">
      <c r="A688" s="47"/>
    </row>
    <row r="689" spans="1:1" ht="15.75" customHeight="1">
      <c r="A689" s="47"/>
    </row>
    <row r="690" spans="1:1" ht="15.75" customHeight="1">
      <c r="A690" s="47"/>
    </row>
    <row r="691" spans="1:1" ht="15.75" customHeight="1">
      <c r="A691" s="47"/>
    </row>
    <row r="692" spans="1:1" ht="15.75" customHeight="1">
      <c r="A692" s="47"/>
    </row>
    <row r="693" spans="1:1" ht="15.75" customHeight="1">
      <c r="A693" s="47"/>
    </row>
    <row r="694" spans="1:1" ht="15.75" customHeight="1">
      <c r="A694" s="47"/>
    </row>
    <row r="695" spans="1:1" ht="15.75" customHeight="1">
      <c r="A695" s="47"/>
    </row>
    <row r="696" spans="1:1" ht="15.75" customHeight="1">
      <c r="A696" s="47"/>
    </row>
    <row r="697" spans="1:1" ht="15.75" customHeight="1">
      <c r="A697" s="47"/>
    </row>
    <row r="698" spans="1:1" ht="15.75" customHeight="1">
      <c r="A698" s="47"/>
    </row>
    <row r="699" spans="1:1" ht="15.75" customHeight="1">
      <c r="A699" s="47"/>
    </row>
    <row r="700" spans="1:1" ht="15.75" customHeight="1">
      <c r="A700" s="47"/>
    </row>
    <row r="701" spans="1:1" ht="15.75" customHeight="1">
      <c r="A701" s="47"/>
    </row>
    <row r="702" spans="1:1" ht="15.75" customHeight="1">
      <c r="A702" s="47"/>
    </row>
    <row r="703" spans="1:1" ht="15.75" customHeight="1">
      <c r="A703" s="47"/>
    </row>
    <row r="704" spans="1:1" ht="15.75" customHeight="1">
      <c r="A704" s="47"/>
    </row>
    <row r="705" spans="1:1" ht="15.75" customHeight="1">
      <c r="A705" s="47"/>
    </row>
    <row r="706" spans="1:1" ht="15.75" customHeight="1">
      <c r="A706" s="47"/>
    </row>
    <row r="707" spans="1:1" ht="15.75" customHeight="1">
      <c r="A707" s="47"/>
    </row>
    <row r="708" spans="1:1" ht="15.75" customHeight="1">
      <c r="A708" s="47"/>
    </row>
    <row r="709" spans="1:1" ht="15.75" customHeight="1">
      <c r="A709" s="47"/>
    </row>
    <row r="710" spans="1:1" ht="15.75" customHeight="1">
      <c r="A710" s="47"/>
    </row>
    <row r="711" spans="1:1" ht="15.75" customHeight="1">
      <c r="A711" s="47"/>
    </row>
    <row r="712" spans="1:1" ht="15.75" customHeight="1">
      <c r="A712" s="47"/>
    </row>
    <row r="713" spans="1:1" ht="15.75" customHeight="1">
      <c r="A713" s="47"/>
    </row>
    <row r="714" spans="1:1" ht="15.75" customHeight="1">
      <c r="A714" s="47"/>
    </row>
    <row r="715" spans="1:1" ht="15.75" customHeight="1">
      <c r="A715" s="47"/>
    </row>
    <row r="716" spans="1:1" ht="15.75" customHeight="1">
      <c r="A716" s="47"/>
    </row>
    <row r="717" spans="1:1" ht="15.75" customHeight="1">
      <c r="A717" s="47"/>
    </row>
    <row r="718" spans="1:1" ht="15.75" customHeight="1">
      <c r="A718" s="47"/>
    </row>
    <row r="719" spans="1:1" ht="15.75" customHeight="1">
      <c r="A719" s="47"/>
    </row>
    <row r="720" spans="1:1" ht="15.75" customHeight="1">
      <c r="A720" s="47"/>
    </row>
    <row r="721" spans="1:1" ht="15.75" customHeight="1">
      <c r="A721" s="47"/>
    </row>
    <row r="722" spans="1:1" ht="15.75" customHeight="1">
      <c r="A722" s="47"/>
    </row>
    <row r="723" spans="1:1" ht="15.75" customHeight="1">
      <c r="A723" s="47"/>
    </row>
    <row r="724" spans="1:1" ht="15.75" customHeight="1">
      <c r="A724" s="47"/>
    </row>
    <row r="725" spans="1:1" ht="15.75" customHeight="1">
      <c r="A725" s="47"/>
    </row>
    <row r="726" spans="1:1" ht="15.75" customHeight="1">
      <c r="A726" s="47"/>
    </row>
    <row r="727" spans="1:1" ht="15.75" customHeight="1">
      <c r="A727" s="47"/>
    </row>
    <row r="728" spans="1:1" ht="15.75" customHeight="1">
      <c r="A728" s="47"/>
    </row>
    <row r="729" spans="1:1" ht="15.75" customHeight="1">
      <c r="A729" s="47"/>
    </row>
    <row r="730" spans="1:1" ht="15.75" customHeight="1">
      <c r="A730" s="47"/>
    </row>
    <row r="731" spans="1:1" ht="15.75" customHeight="1">
      <c r="A731" s="47"/>
    </row>
    <row r="732" spans="1:1" ht="15.75" customHeight="1">
      <c r="A732" s="47"/>
    </row>
    <row r="733" spans="1:1" ht="15.75" customHeight="1">
      <c r="A733" s="47"/>
    </row>
    <row r="734" spans="1:1" ht="15.75" customHeight="1">
      <c r="A734" s="47"/>
    </row>
    <row r="735" spans="1:1" ht="15.75" customHeight="1">
      <c r="A735" s="47"/>
    </row>
    <row r="736" spans="1:1" ht="15.75" customHeight="1">
      <c r="A736" s="47"/>
    </row>
    <row r="737" spans="1:1" ht="15.75" customHeight="1">
      <c r="A737" s="47"/>
    </row>
    <row r="738" spans="1:1" ht="15.75" customHeight="1">
      <c r="A738" s="47"/>
    </row>
    <row r="739" spans="1:1" ht="15.75" customHeight="1">
      <c r="A739" s="47"/>
    </row>
    <row r="740" spans="1:1" ht="15.75" customHeight="1">
      <c r="A740" s="47"/>
    </row>
    <row r="741" spans="1:1" ht="15.75" customHeight="1">
      <c r="A741" s="47"/>
    </row>
    <row r="742" spans="1:1" ht="15.75" customHeight="1">
      <c r="A742" s="47"/>
    </row>
    <row r="743" spans="1:1" ht="15.75" customHeight="1">
      <c r="A743" s="47"/>
    </row>
    <row r="744" spans="1:1" ht="15.75" customHeight="1">
      <c r="A744" s="47"/>
    </row>
    <row r="745" spans="1:1" ht="15.75" customHeight="1">
      <c r="A745" s="47"/>
    </row>
    <row r="746" spans="1:1" ht="15.75" customHeight="1">
      <c r="A746" s="47"/>
    </row>
    <row r="747" spans="1:1" ht="15.75" customHeight="1">
      <c r="A747" s="47"/>
    </row>
    <row r="748" spans="1:1" ht="15.75" customHeight="1">
      <c r="A748" s="47"/>
    </row>
    <row r="749" spans="1:1" ht="15.75" customHeight="1">
      <c r="A749" s="47"/>
    </row>
    <row r="750" spans="1:1" ht="15.75" customHeight="1">
      <c r="A750" s="47"/>
    </row>
    <row r="751" spans="1:1" ht="15.75" customHeight="1">
      <c r="A751" s="47"/>
    </row>
    <row r="752" spans="1:1" ht="15.75" customHeight="1">
      <c r="A752" s="47"/>
    </row>
    <row r="753" spans="1:1" ht="15.75" customHeight="1">
      <c r="A753" s="47"/>
    </row>
    <row r="754" spans="1:1" ht="15.75" customHeight="1">
      <c r="A754" s="47"/>
    </row>
    <row r="755" spans="1:1" ht="15.75" customHeight="1">
      <c r="A755" s="47"/>
    </row>
    <row r="756" spans="1:1" ht="15.75" customHeight="1">
      <c r="A756" s="47"/>
    </row>
    <row r="757" spans="1:1" ht="15.75" customHeight="1">
      <c r="A757" s="47"/>
    </row>
    <row r="758" spans="1:1" ht="15.75" customHeight="1">
      <c r="A758" s="47"/>
    </row>
    <row r="759" spans="1:1" ht="15.75" customHeight="1">
      <c r="A759" s="47"/>
    </row>
    <row r="760" spans="1:1" ht="15.75" customHeight="1">
      <c r="A760" s="47"/>
    </row>
    <row r="761" spans="1:1" ht="15.75" customHeight="1">
      <c r="A761" s="47"/>
    </row>
    <row r="762" spans="1:1" ht="15.75" customHeight="1">
      <c r="A762" s="47"/>
    </row>
    <row r="763" spans="1:1" ht="15.75" customHeight="1">
      <c r="A763" s="47"/>
    </row>
    <row r="764" spans="1:1" ht="15.75" customHeight="1">
      <c r="A764" s="47"/>
    </row>
    <row r="765" spans="1:1" ht="15.75" customHeight="1">
      <c r="A765" s="47"/>
    </row>
    <row r="766" spans="1:1" ht="15.75" customHeight="1">
      <c r="A766" s="47"/>
    </row>
    <row r="767" spans="1:1" ht="15.75" customHeight="1">
      <c r="A767" s="47"/>
    </row>
    <row r="768" spans="1:1" ht="15.75" customHeight="1">
      <c r="A768" s="47"/>
    </row>
    <row r="769" spans="1:1" ht="15.75" customHeight="1">
      <c r="A769" s="47"/>
    </row>
    <row r="770" spans="1:1" ht="15.75" customHeight="1">
      <c r="A770" s="47"/>
    </row>
    <row r="771" spans="1:1" ht="15.75" customHeight="1">
      <c r="A771" s="47"/>
    </row>
    <row r="772" spans="1:1" ht="15.75" customHeight="1">
      <c r="A772" s="47"/>
    </row>
    <row r="773" spans="1:1" ht="15.75" customHeight="1">
      <c r="A773" s="47"/>
    </row>
    <row r="774" spans="1:1" ht="15.75" customHeight="1">
      <c r="A774" s="47"/>
    </row>
    <row r="775" spans="1:1" ht="15.75" customHeight="1">
      <c r="A775" s="47"/>
    </row>
    <row r="776" spans="1:1" ht="15.75" customHeight="1">
      <c r="A776" s="47"/>
    </row>
    <row r="777" spans="1:1" ht="15.75" customHeight="1">
      <c r="A777" s="47"/>
    </row>
    <row r="778" spans="1:1" ht="15.75" customHeight="1">
      <c r="A778" s="47"/>
    </row>
    <row r="779" spans="1:1" ht="15.75" customHeight="1">
      <c r="A779" s="47"/>
    </row>
    <row r="780" spans="1:1" ht="15.75" customHeight="1">
      <c r="A780" s="47"/>
    </row>
    <row r="781" spans="1:1" ht="15.75" customHeight="1">
      <c r="A781" s="47"/>
    </row>
    <row r="782" spans="1:1" ht="15.75" customHeight="1">
      <c r="A782" s="47"/>
    </row>
    <row r="783" spans="1:1" ht="15.75" customHeight="1">
      <c r="A783" s="47"/>
    </row>
    <row r="784" spans="1:1" ht="15.75" customHeight="1">
      <c r="A784" s="47"/>
    </row>
    <row r="785" spans="1:1" ht="15.75" customHeight="1">
      <c r="A785" s="47"/>
    </row>
    <row r="786" spans="1:1" ht="15.75" customHeight="1">
      <c r="A786" s="47"/>
    </row>
    <row r="787" spans="1:1" ht="15.75" customHeight="1">
      <c r="A787" s="47"/>
    </row>
    <row r="788" spans="1:1" ht="15.75" customHeight="1">
      <c r="A788" s="47"/>
    </row>
    <row r="789" spans="1:1" ht="15.75" customHeight="1">
      <c r="A789" s="47"/>
    </row>
    <row r="790" spans="1:1" ht="15.75" customHeight="1">
      <c r="A790" s="47"/>
    </row>
    <row r="791" spans="1:1" ht="15.75" customHeight="1">
      <c r="A791" s="47"/>
    </row>
    <row r="792" spans="1:1" ht="15.75" customHeight="1">
      <c r="A792" s="47"/>
    </row>
    <row r="793" spans="1:1" ht="15.75" customHeight="1">
      <c r="A793" s="47"/>
    </row>
    <row r="794" spans="1:1" ht="15.75" customHeight="1">
      <c r="A794" s="47"/>
    </row>
    <row r="795" spans="1:1" ht="15.75" customHeight="1">
      <c r="A795" s="47"/>
    </row>
    <row r="796" spans="1:1" ht="15.75" customHeight="1">
      <c r="A796" s="47"/>
    </row>
    <row r="797" spans="1:1" ht="15.75" customHeight="1">
      <c r="A797" s="47"/>
    </row>
    <row r="798" spans="1:1" ht="15.75" customHeight="1">
      <c r="A798" s="47"/>
    </row>
    <row r="799" spans="1:1" ht="15.75" customHeight="1">
      <c r="A799" s="47"/>
    </row>
    <row r="800" spans="1:1" ht="15.75" customHeight="1">
      <c r="A800" s="47"/>
    </row>
    <row r="801" spans="1:1" ht="15.75" customHeight="1">
      <c r="A801" s="47"/>
    </row>
    <row r="802" spans="1:1" ht="15.75" customHeight="1">
      <c r="A802" s="47"/>
    </row>
    <row r="803" spans="1:1" ht="15.75" customHeight="1">
      <c r="A803" s="47"/>
    </row>
    <row r="804" spans="1:1" ht="15.75" customHeight="1">
      <c r="A804" s="47"/>
    </row>
    <row r="805" spans="1:1" ht="15.75" customHeight="1">
      <c r="A805" s="47"/>
    </row>
    <row r="806" spans="1:1" ht="15.75" customHeight="1">
      <c r="A806" s="47"/>
    </row>
    <row r="807" spans="1:1" ht="15.75" customHeight="1">
      <c r="A807" s="47"/>
    </row>
    <row r="808" spans="1:1" ht="15.75" customHeight="1">
      <c r="A808" s="47"/>
    </row>
    <row r="809" spans="1:1" ht="15.75" customHeight="1">
      <c r="A809" s="47"/>
    </row>
    <row r="810" spans="1:1" ht="15.75" customHeight="1">
      <c r="A810" s="47"/>
    </row>
    <row r="811" spans="1:1" ht="15.75" customHeight="1">
      <c r="A811" s="47"/>
    </row>
    <row r="812" spans="1:1" ht="15.75" customHeight="1">
      <c r="A812" s="47"/>
    </row>
    <row r="813" spans="1:1" ht="15.75" customHeight="1">
      <c r="A813" s="47"/>
    </row>
    <row r="814" spans="1:1" ht="15.75" customHeight="1">
      <c r="A814" s="47"/>
    </row>
    <row r="815" spans="1:1" ht="15.75" customHeight="1">
      <c r="A815" s="47"/>
    </row>
    <row r="816" spans="1:1" ht="15.75" customHeight="1">
      <c r="A816" s="47"/>
    </row>
    <row r="817" spans="1:1" ht="15.75" customHeight="1">
      <c r="A817" s="47"/>
    </row>
    <row r="818" spans="1:1" ht="15.75" customHeight="1">
      <c r="A818" s="47"/>
    </row>
    <row r="819" spans="1:1" ht="15.75" customHeight="1">
      <c r="A819" s="47"/>
    </row>
    <row r="820" spans="1:1" ht="15.75" customHeight="1">
      <c r="A820" s="47"/>
    </row>
    <row r="821" spans="1:1" ht="15.75" customHeight="1">
      <c r="A821" s="47"/>
    </row>
    <row r="822" spans="1:1" ht="15.75" customHeight="1">
      <c r="A822" s="47"/>
    </row>
    <row r="823" spans="1:1" ht="15.75" customHeight="1">
      <c r="A823" s="47"/>
    </row>
    <row r="824" spans="1:1" ht="15.75" customHeight="1">
      <c r="A824" s="47"/>
    </row>
    <row r="825" spans="1:1" ht="15.75" customHeight="1">
      <c r="A825" s="47"/>
    </row>
    <row r="826" spans="1:1" ht="15.75" customHeight="1">
      <c r="A826" s="47"/>
    </row>
    <row r="827" spans="1:1" ht="15.75" customHeight="1">
      <c r="A827" s="47"/>
    </row>
    <row r="828" spans="1:1" ht="15.75" customHeight="1">
      <c r="A828" s="47"/>
    </row>
    <row r="829" spans="1:1" ht="15.75" customHeight="1">
      <c r="A829" s="47"/>
    </row>
    <row r="830" spans="1:1" ht="15.75" customHeight="1">
      <c r="A830" s="47"/>
    </row>
    <row r="831" spans="1:1" ht="15.75" customHeight="1">
      <c r="A831" s="47"/>
    </row>
    <row r="832" spans="1:1" ht="15.75" customHeight="1">
      <c r="A832" s="47"/>
    </row>
    <row r="833" spans="1:1" ht="15.75" customHeight="1">
      <c r="A833" s="47"/>
    </row>
    <row r="834" spans="1:1" ht="15.75" customHeight="1">
      <c r="A834" s="47"/>
    </row>
    <row r="835" spans="1:1" ht="15.75" customHeight="1">
      <c r="A835" s="47"/>
    </row>
    <row r="836" spans="1:1" ht="15.75" customHeight="1">
      <c r="A836" s="47"/>
    </row>
    <row r="837" spans="1:1" ht="15.75" customHeight="1">
      <c r="A837" s="47"/>
    </row>
    <row r="838" spans="1:1" ht="15.75" customHeight="1">
      <c r="A838" s="47"/>
    </row>
    <row r="839" spans="1:1" ht="15.75" customHeight="1">
      <c r="A839" s="47"/>
    </row>
    <row r="840" spans="1:1" ht="15.75" customHeight="1">
      <c r="A840" s="47"/>
    </row>
    <row r="841" spans="1:1" ht="15.75" customHeight="1">
      <c r="A841" s="47"/>
    </row>
    <row r="842" spans="1:1" ht="15.75" customHeight="1">
      <c r="A842" s="47"/>
    </row>
    <row r="843" spans="1:1" ht="15.75" customHeight="1">
      <c r="A843" s="47"/>
    </row>
    <row r="844" spans="1:1" ht="15.75" customHeight="1">
      <c r="A844" s="47"/>
    </row>
    <row r="845" spans="1:1" ht="15.75" customHeight="1">
      <c r="A845" s="47"/>
    </row>
    <row r="846" spans="1:1" ht="15.75" customHeight="1">
      <c r="A846" s="47"/>
    </row>
    <row r="847" spans="1:1" ht="15.75" customHeight="1">
      <c r="A847" s="47"/>
    </row>
    <row r="848" spans="1:1" ht="15.75" customHeight="1">
      <c r="A848" s="47"/>
    </row>
    <row r="849" spans="1:1" ht="15.75" customHeight="1">
      <c r="A849" s="47"/>
    </row>
    <row r="850" spans="1:1" ht="15.75" customHeight="1">
      <c r="A850" s="47"/>
    </row>
    <row r="851" spans="1:1" ht="15.75" customHeight="1">
      <c r="A851" s="47"/>
    </row>
    <row r="852" spans="1:1" ht="15.75" customHeight="1">
      <c r="A852" s="47"/>
    </row>
    <row r="853" spans="1:1" ht="15.75" customHeight="1">
      <c r="A853" s="47"/>
    </row>
    <row r="854" spans="1:1" ht="15.75" customHeight="1">
      <c r="A854" s="47"/>
    </row>
    <row r="855" spans="1:1" ht="15.75" customHeight="1">
      <c r="A855" s="47"/>
    </row>
    <row r="856" spans="1:1" ht="15.75" customHeight="1">
      <c r="A856" s="47"/>
    </row>
    <row r="857" spans="1:1" ht="15.75" customHeight="1">
      <c r="A857" s="47"/>
    </row>
    <row r="858" spans="1:1" ht="15.75" customHeight="1">
      <c r="A858" s="47"/>
    </row>
    <row r="859" spans="1:1" ht="15.75" customHeight="1">
      <c r="A859" s="47"/>
    </row>
    <row r="860" spans="1:1" ht="15.75" customHeight="1">
      <c r="A860" s="47"/>
    </row>
    <row r="861" spans="1:1" ht="15.75" customHeight="1">
      <c r="A861" s="47"/>
    </row>
    <row r="862" spans="1:1" ht="15.75" customHeight="1">
      <c r="A862" s="47"/>
    </row>
    <row r="863" spans="1:1" ht="15.75" customHeight="1">
      <c r="A863" s="47"/>
    </row>
    <row r="864" spans="1:1" ht="15.75" customHeight="1">
      <c r="A864" s="47"/>
    </row>
    <row r="865" spans="1:1" ht="15.75" customHeight="1">
      <c r="A865" s="47"/>
    </row>
    <row r="866" spans="1:1" ht="15.75" customHeight="1">
      <c r="A866" s="47"/>
    </row>
    <row r="867" spans="1:1" ht="15.75" customHeight="1">
      <c r="A867" s="47"/>
    </row>
    <row r="868" spans="1:1" ht="15.75" customHeight="1">
      <c r="A868" s="47"/>
    </row>
    <row r="869" spans="1:1" ht="15.75" customHeight="1">
      <c r="A869" s="47"/>
    </row>
    <row r="870" spans="1:1" ht="15.75" customHeight="1">
      <c r="A870" s="47"/>
    </row>
    <row r="871" spans="1:1" ht="15.75" customHeight="1">
      <c r="A871" s="47"/>
    </row>
    <row r="872" spans="1:1" ht="15.75" customHeight="1">
      <c r="A872" s="47"/>
    </row>
    <row r="873" spans="1:1" ht="15.75" customHeight="1">
      <c r="A873" s="47"/>
    </row>
    <row r="874" spans="1:1" ht="15.75" customHeight="1">
      <c r="A874" s="47"/>
    </row>
    <row r="875" spans="1:1" ht="15.75" customHeight="1">
      <c r="A875" s="47"/>
    </row>
    <row r="876" spans="1:1" ht="15.75" customHeight="1">
      <c r="A876" s="47"/>
    </row>
    <row r="877" spans="1:1" ht="15.75" customHeight="1">
      <c r="A877" s="47"/>
    </row>
    <row r="878" spans="1:1" ht="15.75" customHeight="1">
      <c r="A878" s="47"/>
    </row>
    <row r="879" spans="1:1" ht="15.75" customHeight="1">
      <c r="A879" s="47"/>
    </row>
    <row r="880" spans="1:1" ht="15.75" customHeight="1">
      <c r="A880" s="47"/>
    </row>
    <row r="881" spans="1:1" ht="15.75" customHeight="1">
      <c r="A881" s="47"/>
    </row>
    <row r="882" spans="1:1" ht="15.75" customHeight="1">
      <c r="A882" s="47"/>
    </row>
    <row r="883" spans="1:1" ht="15.75" customHeight="1">
      <c r="A883" s="47"/>
    </row>
    <row r="884" spans="1:1" ht="15.75" customHeight="1">
      <c r="A884" s="47"/>
    </row>
    <row r="885" spans="1:1" ht="15.75" customHeight="1">
      <c r="A885" s="47"/>
    </row>
    <row r="886" spans="1:1" ht="15.75" customHeight="1">
      <c r="A886" s="47"/>
    </row>
    <row r="887" spans="1:1" ht="15.75" customHeight="1">
      <c r="A887" s="47"/>
    </row>
    <row r="888" spans="1:1" ht="15.75" customHeight="1">
      <c r="A888" s="47"/>
    </row>
    <row r="889" spans="1:1" ht="15.75" customHeight="1">
      <c r="A889" s="47"/>
    </row>
    <row r="890" spans="1:1" ht="15.75" customHeight="1">
      <c r="A890" s="47"/>
    </row>
    <row r="891" spans="1:1" ht="15.75" customHeight="1">
      <c r="A891" s="47"/>
    </row>
    <row r="892" spans="1:1" ht="15.75" customHeight="1">
      <c r="A892" s="47"/>
    </row>
    <row r="893" spans="1:1" ht="15.75" customHeight="1">
      <c r="A893" s="47"/>
    </row>
    <row r="894" spans="1:1" ht="15.75" customHeight="1">
      <c r="A894" s="47"/>
    </row>
    <row r="895" spans="1:1" ht="15.75" customHeight="1">
      <c r="A895" s="47"/>
    </row>
    <row r="896" spans="1:1" ht="15.75" customHeight="1">
      <c r="A896" s="47"/>
    </row>
    <row r="897" spans="1:1" ht="15.75" customHeight="1">
      <c r="A897" s="47"/>
    </row>
    <row r="898" spans="1:1" ht="15.75" customHeight="1">
      <c r="A898" s="47"/>
    </row>
    <row r="899" spans="1:1" ht="15.75" customHeight="1">
      <c r="A899" s="47"/>
    </row>
    <row r="900" spans="1:1" ht="15.75" customHeight="1">
      <c r="A900" s="47"/>
    </row>
    <row r="901" spans="1:1" ht="15.75" customHeight="1">
      <c r="A901" s="47"/>
    </row>
    <row r="902" spans="1:1" ht="15.75" customHeight="1">
      <c r="A902" s="47"/>
    </row>
    <row r="903" spans="1:1" ht="15.75" customHeight="1">
      <c r="A903" s="47"/>
    </row>
    <row r="904" spans="1:1" ht="15.75" customHeight="1">
      <c r="A904" s="47"/>
    </row>
    <row r="905" spans="1:1" ht="15.75" customHeight="1">
      <c r="A905" s="47"/>
    </row>
    <row r="906" spans="1:1" ht="15.75" customHeight="1">
      <c r="A906" s="47"/>
    </row>
    <row r="907" spans="1:1" ht="15.75" customHeight="1">
      <c r="A907" s="47"/>
    </row>
    <row r="908" spans="1:1" ht="15.75" customHeight="1">
      <c r="A908" s="47"/>
    </row>
    <row r="909" spans="1:1" ht="15.75" customHeight="1">
      <c r="A909" s="47"/>
    </row>
    <row r="910" spans="1:1" ht="15.75" customHeight="1">
      <c r="A910" s="47"/>
    </row>
    <row r="911" spans="1:1" ht="15.75" customHeight="1">
      <c r="A911" s="47"/>
    </row>
    <row r="912" spans="1:1" ht="15.75" customHeight="1">
      <c r="A912" s="47"/>
    </row>
    <row r="913" spans="1:1" ht="15.75" customHeight="1">
      <c r="A913" s="47"/>
    </row>
    <row r="914" spans="1:1" ht="15.75" customHeight="1">
      <c r="A914" s="47"/>
    </row>
    <row r="915" spans="1:1" ht="15.75" customHeight="1">
      <c r="A915" s="47"/>
    </row>
    <row r="916" spans="1:1" ht="15.75" customHeight="1">
      <c r="A916" s="47"/>
    </row>
    <row r="917" spans="1:1" ht="15.75" customHeight="1">
      <c r="A917" s="47"/>
    </row>
    <row r="918" spans="1:1" ht="15.75" customHeight="1">
      <c r="A918" s="47"/>
    </row>
    <row r="919" spans="1:1" ht="15.75" customHeight="1">
      <c r="A919" s="47"/>
    </row>
    <row r="920" spans="1:1" ht="15.75" customHeight="1">
      <c r="A920" s="47"/>
    </row>
    <row r="921" spans="1:1" ht="15.75" customHeight="1">
      <c r="A921" s="47"/>
    </row>
    <row r="922" spans="1:1" ht="15.75" customHeight="1">
      <c r="A922" s="47"/>
    </row>
    <row r="923" spans="1:1" ht="15.75" customHeight="1">
      <c r="A923" s="47"/>
    </row>
    <row r="924" spans="1:1" ht="15.75" customHeight="1">
      <c r="A924" s="47"/>
    </row>
    <row r="925" spans="1:1" ht="15.75" customHeight="1">
      <c r="A925" s="47"/>
    </row>
    <row r="926" spans="1:1" ht="15.75" customHeight="1">
      <c r="A926" s="47"/>
    </row>
    <row r="927" spans="1:1" ht="15.75" customHeight="1">
      <c r="A927" s="47"/>
    </row>
    <row r="928" spans="1:1" ht="15.75" customHeight="1">
      <c r="A928" s="47"/>
    </row>
    <row r="929" spans="1:1" ht="15.75" customHeight="1">
      <c r="A929" s="47"/>
    </row>
    <row r="930" spans="1:1" ht="15.75" customHeight="1">
      <c r="A930" s="47"/>
    </row>
    <row r="931" spans="1:1" ht="15.75" customHeight="1">
      <c r="A931" s="47"/>
    </row>
    <row r="932" spans="1:1" ht="15.75" customHeight="1">
      <c r="A932" s="47"/>
    </row>
    <row r="933" spans="1:1" ht="15.75" customHeight="1">
      <c r="A933" s="47"/>
    </row>
    <row r="934" spans="1:1" ht="15.75" customHeight="1">
      <c r="A934" s="47"/>
    </row>
    <row r="935" spans="1:1" ht="15.75" customHeight="1">
      <c r="A935" s="47"/>
    </row>
    <row r="936" spans="1:1" ht="15.75" customHeight="1">
      <c r="A936" s="47"/>
    </row>
    <row r="937" spans="1:1" ht="15.75" customHeight="1">
      <c r="A937" s="47"/>
    </row>
    <row r="938" spans="1:1" ht="15.75" customHeight="1">
      <c r="A938" s="47"/>
    </row>
    <row r="939" spans="1:1" ht="15.75" customHeight="1">
      <c r="A939" s="47"/>
    </row>
    <row r="940" spans="1:1" ht="15.75" customHeight="1">
      <c r="A940" s="47"/>
    </row>
    <row r="941" spans="1:1" ht="15.75" customHeight="1">
      <c r="A941" s="47"/>
    </row>
    <row r="942" spans="1:1" ht="15.75" customHeight="1">
      <c r="A942" s="47"/>
    </row>
    <row r="943" spans="1:1" ht="15.75" customHeight="1">
      <c r="A943" s="47"/>
    </row>
    <row r="944" spans="1:1" ht="15.75" customHeight="1">
      <c r="A944" s="47"/>
    </row>
    <row r="945" spans="1:1" ht="15.75" customHeight="1">
      <c r="A945" s="47"/>
    </row>
    <row r="946" spans="1:1" ht="15.75" customHeight="1">
      <c r="A946" s="47"/>
    </row>
    <row r="947" spans="1:1" ht="15.75" customHeight="1">
      <c r="A947" s="47"/>
    </row>
    <row r="948" spans="1:1" ht="15.75" customHeight="1">
      <c r="A948" s="47"/>
    </row>
    <row r="949" spans="1:1" ht="15.75" customHeight="1">
      <c r="A949" s="47"/>
    </row>
    <row r="950" spans="1:1" ht="15.75" customHeight="1">
      <c r="A950" s="47"/>
    </row>
    <row r="951" spans="1:1" ht="15.75" customHeight="1">
      <c r="A951" s="47"/>
    </row>
    <row r="952" spans="1:1" ht="15.75" customHeight="1">
      <c r="A952" s="47"/>
    </row>
    <row r="953" spans="1:1" ht="15.75" customHeight="1">
      <c r="A953" s="47"/>
    </row>
    <row r="954" spans="1:1" ht="15.75" customHeight="1">
      <c r="A954" s="47"/>
    </row>
    <row r="955" spans="1:1" ht="15.75" customHeight="1">
      <c r="A955" s="47"/>
    </row>
    <row r="956" spans="1:1" ht="15.75" customHeight="1">
      <c r="A956" s="47"/>
    </row>
    <row r="957" spans="1:1" ht="15.75" customHeight="1">
      <c r="A957" s="47"/>
    </row>
    <row r="958" spans="1:1" ht="15.75" customHeight="1">
      <c r="A958" s="47"/>
    </row>
    <row r="959" spans="1:1" ht="15.75" customHeight="1">
      <c r="A959" s="47"/>
    </row>
    <row r="960" spans="1:1" ht="15.75" customHeight="1">
      <c r="A960" s="47"/>
    </row>
    <row r="961" spans="1:1" ht="15.75" customHeight="1">
      <c r="A961" s="47"/>
    </row>
    <row r="962" spans="1:1" ht="15.75" customHeight="1">
      <c r="A962" s="47"/>
    </row>
    <row r="963" spans="1:1" ht="15.75" customHeight="1">
      <c r="A963" s="47"/>
    </row>
    <row r="964" spans="1:1" ht="15.75" customHeight="1">
      <c r="A964" s="47"/>
    </row>
    <row r="965" spans="1:1" ht="15.75" customHeight="1">
      <c r="A965" s="47"/>
    </row>
    <row r="966" spans="1:1" ht="15.75" customHeight="1">
      <c r="A966" s="47"/>
    </row>
    <row r="967" spans="1:1" ht="15.75" customHeight="1">
      <c r="A967" s="47"/>
    </row>
    <row r="968" spans="1:1" ht="15.75" customHeight="1">
      <c r="A968" s="47"/>
    </row>
    <row r="969" spans="1:1" ht="15.75" customHeight="1">
      <c r="A969" s="47"/>
    </row>
    <row r="970" spans="1:1" ht="15.75" customHeight="1">
      <c r="A970" s="47"/>
    </row>
    <row r="971" spans="1:1" ht="15.75" customHeight="1">
      <c r="A971" s="47"/>
    </row>
    <row r="972" spans="1:1" ht="15.75" customHeight="1">
      <c r="A972" s="47"/>
    </row>
    <row r="973" spans="1:1" ht="15.75" customHeight="1">
      <c r="A973" s="47"/>
    </row>
    <row r="974" spans="1:1" ht="15.75" customHeight="1">
      <c r="A974" s="47"/>
    </row>
    <row r="975" spans="1:1" ht="15.75" customHeight="1">
      <c r="A975" s="47"/>
    </row>
    <row r="976" spans="1:1" ht="15.75" customHeight="1">
      <c r="A976" s="47"/>
    </row>
    <row r="977" spans="1:1" ht="15.75" customHeight="1">
      <c r="A977" s="47"/>
    </row>
    <row r="978" spans="1:1" ht="15.75" customHeight="1">
      <c r="A978" s="47"/>
    </row>
    <row r="979" spans="1:1" ht="15.75" customHeight="1">
      <c r="A979" s="47"/>
    </row>
    <row r="980" spans="1:1" ht="15.75" customHeight="1">
      <c r="A980" s="47"/>
    </row>
    <row r="981" spans="1:1" ht="15.75" customHeight="1">
      <c r="A981" s="47"/>
    </row>
    <row r="982" spans="1:1" ht="15.75" customHeight="1">
      <c r="A982" s="47"/>
    </row>
    <row r="983" spans="1:1" ht="15.75" customHeight="1">
      <c r="A983" s="47"/>
    </row>
    <row r="984" spans="1:1" ht="15.75" customHeight="1">
      <c r="A984" s="47"/>
    </row>
    <row r="985" spans="1:1" ht="15.75" customHeight="1">
      <c r="A985" s="47"/>
    </row>
    <row r="986" spans="1:1" ht="15.75" customHeight="1">
      <c r="A986" s="47"/>
    </row>
    <row r="987" spans="1:1" ht="15.75" customHeight="1">
      <c r="A987" s="47"/>
    </row>
    <row r="988" spans="1:1" ht="15.75" customHeight="1">
      <c r="A988" s="47"/>
    </row>
    <row r="989" spans="1:1" ht="15.75" customHeight="1">
      <c r="A989" s="47"/>
    </row>
    <row r="990" spans="1:1" ht="15.75" customHeight="1">
      <c r="A990" s="47"/>
    </row>
    <row r="991" spans="1:1" ht="15.75" customHeight="1">
      <c r="A991" s="47"/>
    </row>
    <row r="992" spans="1:1" ht="15.75" customHeight="1">
      <c r="A992" s="47"/>
    </row>
    <row r="993" spans="1:1" ht="15.75" customHeight="1">
      <c r="A993" s="47"/>
    </row>
    <row r="994" spans="1:1" ht="15.75" customHeight="1">
      <c r="A994" s="47"/>
    </row>
    <row r="995" spans="1:1" ht="15.75" customHeight="1">
      <c r="A995" s="47"/>
    </row>
    <row r="996" spans="1:1" ht="15.75" customHeight="1">
      <c r="A996" s="47"/>
    </row>
    <row r="997" spans="1:1" ht="15.75" customHeight="1">
      <c r="A997" s="47"/>
    </row>
    <row r="998" spans="1:1" ht="15.75" customHeight="1">
      <c r="A998" s="47"/>
    </row>
    <row r="999" spans="1:1" ht="15.75" customHeight="1">
      <c r="A999" s="47"/>
    </row>
    <row r="1000" spans="1:1" ht="15.75" customHeight="1">
      <c r="A1000" s="47"/>
    </row>
  </sheetData>
  <mergeCells count="14">
    <mergeCell ref="D36:E36"/>
    <mergeCell ref="I36:J36"/>
    <mergeCell ref="D37:E37"/>
    <mergeCell ref="I37:J37"/>
    <mergeCell ref="D38:E38"/>
    <mergeCell ref="I38:J38"/>
    <mergeCell ref="I24:J24"/>
    <mergeCell ref="D24:E24"/>
    <mergeCell ref="D21:E21"/>
    <mergeCell ref="I21:J21"/>
    <mergeCell ref="D22:E22"/>
    <mergeCell ref="I22:J22"/>
    <mergeCell ref="D23:E23"/>
    <mergeCell ref="I23:J2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70B3-3E62-4610-9A1F-DD8159A3EAFE}">
  <dimension ref="A1:K1000"/>
  <sheetViews>
    <sheetView showGridLines="0" topLeftCell="C9" zoomScale="85" zoomScaleNormal="85" workbookViewId="0">
      <selection activeCell="H28" sqref="H28"/>
    </sheetView>
  </sheetViews>
  <sheetFormatPr baseColWidth="10" defaultColWidth="12.625" defaultRowHeight="15" customHeight="1"/>
  <cols>
    <col min="1" max="1" width="7.625" style="37" customWidth="1"/>
    <col min="2" max="2" width="3" style="37" customWidth="1"/>
    <col min="3" max="3" width="9.375" style="37" customWidth="1"/>
    <col min="4" max="4" width="13" style="37" customWidth="1"/>
    <col min="5" max="5" width="15.25" style="37" customWidth="1"/>
    <col min="6" max="6" width="9.375" style="37" customWidth="1"/>
    <col min="7" max="7" width="30.5" style="37" customWidth="1"/>
    <col min="8" max="9" width="14.75" style="37" customWidth="1"/>
    <col min="10" max="10" width="15.25" style="37" customWidth="1"/>
    <col min="11" max="26" width="9.375" style="37" customWidth="1"/>
    <col min="27" max="16384" width="12.625" style="37"/>
  </cols>
  <sheetData>
    <row r="1" spans="1:11">
      <c r="A1" s="47"/>
    </row>
    <row r="2" spans="1:11">
      <c r="A2" s="47"/>
    </row>
    <row r="3" spans="1:11">
      <c r="A3" s="47"/>
    </row>
    <row r="4" spans="1:11">
      <c r="A4" s="47"/>
    </row>
    <row r="5" spans="1:11">
      <c r="A5" s="47"/>
    </row>
    <row r="6" spans="1:11">
      <c r="A6" s="47"/>
    </row>
    <row r="7" spans="1:11">
      <c r="A7" s="47"/>
    </row>
    <row r="8" spans="1:11">
      <c r="A8" s="47"/>
      <c r="K8" s="56"/>
    </row>
    <row r="9" spans="1:11" ht="36.75" customHeight="1" thickBot="1">
      <c r="A9" s="47"/>
      <c r="C9" s="46" t="s">
        <v>0</v>
      </c>
      <c r="D9" s="45"/>
      <c r="E9" s="45"/>
      <c r="F9" s="45"/>
      <c r="G9" s="45"/>
      <c r="H9" s="45"/>
      <c r="I9" s="45"/>
      <c r="J9" s="45"/>
    </row>
    <row r="10" spans="1:11" ht="15.75" thickTop="1">
      <c r="A10" s="47"/>
      <c r="C10" s="55"/>
    </row>
    <row r="11" spans="1:11" ht="20.25">
      <c r="A11" s="47"/>
      <c r="G11" s="44" t="s">
        <v>16</v>
      </c>
    </row>
    <row r="12" spans="1:11" ht="7.5" customHeight="1">
      <c r="A12" s="47"/>
    </row>
    <row r="13" spans="1:11" ht="15.75">
      <c r="A13" s="47"/>
      <c r="C13" s="42" t="s">
        <v>2</v>
      </c>
      <c r="D13" s="50" t="s">
        <v>17</v>
      </c>
    </row>
    <row r="14" spans="1:11" ht="15.75">
      <c r="A14" s="47"/>
      <c r="C14" s="49"/>
      <c r="D14" s="50" t="s">
        <v>18</v>
      </c>
    </row>
    <row r="15" spans="1:11">
      <c r="A15" s="47"/>
    </row>
    <row r="16" spans="1:11" ht="17.25">
      <c r="A16" s="47"/>
      <c r="C16" s="42" t="s">
        <v>4</v>
      </c>
      <c r="D16" s="53"/>
    </row>
    <row r="17" spans="1:10">
      <c r="A17" s="47"/>
    </row>
    <row r="18" spans="1:10" ht="15.75">
      <c r="A18" s="47"/>
      <c r="C18" s="42" t="s">
        <v>5</v>
      </c>
      <c r="H18" s="42" t="s">
        <v>6</v>
      </c>
    </row>
    <row r="19" spans="1:10">
      <c r="A19" s="47"/>
    </row>
    <row r="20" spans="1:10">
      <c r="A20" s="47"/>
      <c r="D20" s="41" t="s">
        <v>7</v>
      </c>
      <c r="E20" s="41" t="s">
        <v>19</v>
      </c>
      <c r="I20" s="41" t="s">
        <v>7</v>
      </c>
      <c r="J20" s="41" t="s">
        <v>19</v>
      </c>
    </row>
    <row r="21" spans="1:10" ht="15.75" customHeight="1">
      <c r="A21" s="47"/>
      <c r="D21" s="38">
        <v>-64.289180000000002</v>
      </c>
      <c r="E21" s="52">
        <f>INT(D21)</f>
        <v>-65</v>
      </c>
      <c r="I21" s="38">
        <v>89.188900000000004</v>
      </c>
      <c r="J21" s="52">
        <f>INT(I21)</f>
        <v>89</v>
      </c>
    </row>
    <row r="22" spans="1:10" ht="15.75" customHeight="1">
      <c r="A22" s="47"/>
      <c r="D22" s="38">
        <v>37.189</v>
      </c>
      <c r="E22" s="52">
        <f>INT(D22)</f>
        <v>37</v>
      </c>
      <c r="I22" s="38">
        <v>920.17</v>
      </c>
      <c r="J22" s="52">
        <f>INT(I22)</f>
        <v>920</v>
      </c>
    </row>
    <row r="23" spans="1:10" ht="15.75" customHeight="1">
      <c r="A23" s="47"/>
      <c r="D23" s="38">
        <v>-400.17</v>
      </c>
      <c r="E23" s="52">
        <f>INT(D23)</f>
        <v>-401</v>
      </c>
      <c r="I23" s="38">
        <v>146.93799999999999</v>
      </c>
      <c r="J23" s="52">
        <f>INT(I23)</f>
        <v>146</v>
      </c>
    </row>
    <row r="24" spans="1:10" ht="15.75" customHeight="1">
      <c r="A24" s="47"/>
      <c r="D24" s="38">
        <v>1.3590800000000001</v>
      </c>
      <c r="E24" s="52">
        <f>INT(D24)</f>
        <v>1</v>
      </c>
      <c r="I24" s="38">
        <v>65.322209999999998</v>
      </c>
      <c r="J24" s="52">
        <f>INT(I24)</f>
        <v>65</v>
      </c>
    </row>
    <row r="25" spans="1:10" ht="15.75" customHeight="1">
      <c r="A25" s="47"/>
      <c r="D25" s="38">
        <v>3.1478899999999999</v>
      </c>
      <c r="E25" s="52">
        <f>INT(D25)</f>
        <v>3</v>
      </c>
      <c r="I25" s="38">
        <v>-45.109000000000002</v>
      </c>
      <c r="J25" s="52">
        <f>INT(I25)</f>
        <v>-46</v>
      </c>
    </row>
    <row r="26" spans="1:10" ht="15.75" customHeight="1">
      <c r="A26" s="47"/>
      <c r="I26" s="38"/>
    </row>
    <row r="27" spans="1:10" ht="15.75" customHeight="1">
      <c r="A27" s="47"/>
    </row>
    <row r="28" spans="1:10" ht="15.75" customHeight="1">
      <c r="A28" s="47"/>
    </row>
    <row r="29" spans="1:10" ht="15.75" customHeight="1">
      <c r="A29" s="47"/>
    </row>
    <row r="30" spans="1:10" ht="15.75" customHeight="1">
      <c r="A30" s="47"/>
    </row>
    <row r="31" spans="1:10" ht="15.75" customHeight="1">
      <c r="A31" s="47"/>
    </row>
    <row r="32" spans="1:10" ht="15.75" customHeight="1">
      <c r="A32" s="47"/>
    </row>
    <row r="33" spans="1:10" ht="15.75" customHeight="1">
      <c r="A33" s="47"/>
    </row>
    <row r="34" spans="1:10" ht="15.75" customHeight="1">
      <c r="A34" s="47"/>
    </row>
    <row r="35" spans="1:10" ht="15.75" customHeight="1">
      <c r="A35" s="47"/>
      <c r="D35" s="63"/>
      <c r="E35" s="59"/>
      <c r="I35" s="63"/>
      <c r="J35" s="59"/>
    </row>
    <row r="36" spans="1:10" ht="15.75" customHeight="1">
      <c r="A36" s="47"/>
      <c r="D36" s="63"/>
      <c r="E36" s="59"/>
      <c r="I36" s="63"/>
      <c r="J36" s="59"/>
    </row>
    <row r="37" spans="1:10" ht="15.75" customHeight="1">
      <c r="A37" s="47"/>
    </row>
    <row r="38" spans="1:10" ht="15.75" customHeight="1">
      <c r="A38" s="47"/>
    </row>
    <row r="39" spans="1:10" ht="15.75" customHeight="1">
      <c r="A39" s="47"/>
    </row>
    <row r="40" spans="1:10" ht="15.75" customHeight="1">
      <c r="A40" s="47"/>
    </row>
    <row r="41" spans="1:10" ht="15.75" customHeight="1">
      <c r="A41" s="47"/>
    </row>
    <row r="42" spans="1:10" ht="15.75" customHeight="1">
      <c r="A42" s="47"/>
    </row>
    <row r="43" spans="1:10" ht="15.75" customHeight="1">
      <c r="A43" s="47"/>
    </row>
    <row r="44" spans="1:10" ht="15.75" customHeight="1">
      <c r="A44" s="47"/>
    </row>
    <row r="45" spans="1:10" ht="15.75" customHeight="1">
      <c r="A45" s="47"/>
    </row>
    <row r="46" spans="1:10" ht="15.75" customHeight="1">
      <c r="A46" s="47"/>
    </row>
    <row r="47" spans="1:10" ht="15.75" customHeight="1">
      <c r="A47" s="47"/>
    </row>
    <row r="48" spans="1:10" ht="15.75" customHeight="1">
      <c r="A48" s="47"/>
    </row>
    <row r="49" spans="1:1" ht="15.75" customHeight="1">
      <c r="A49" s="47"/>
    </row>
    <row r="50" spans="1:1" ht="15.75" customHeight="1">
      <c r="A50" s="47"/>
    </row>
    <row r="51" spans="1:1" ht="15.75" customHeight="1">
      <c r="A51" s="47"/>
    </row>
    <row r="52" spans="1:1" ht="15.75" customHeight="1">
      <c r="A52" s="47"/>
    </row>
    <row r="53" spans="1:1" ht="15.75" customHeight="1">
      <c r="A53" s="47"/>
    </row>
    <row r="54" spans="1:1" ht="15.75" customHeight="1">
      <c r="A54" s="47"/>
    </row>
    <row r="55" spans="1:1" ht="15.75" customHeight="1">
      <c r="A55" s="47"/>
    </row>
    <row r="56" spans="1:1" ht="15.75" customHeight="1">
      <c r="A56" s="47"/>
    </row>
    <row r="57" spans="1:1" ht="15.75" customHeight="1">
      <c r="A57" s="47"/>
    </row>
    <row r="58" spans="1:1" ht="15.75" customHeight="1">
      <c r="A58" s="47"/>
    </row>
    <row r="59" spans="1:1" ht="15.75" customHeight="1">
      <c r="A59" s="47"/>
    </row>
    <row r="60" spans="1:1" ht="15.75" customHeight="1">
      <c r="A60" s="47"/>
    </row>
    <row r="61" spans="1:1" ht="15.75" customHeight="1">
      <c r="A61" s="47"/>
    </row>
    <row r="62" spans="1:1" ht="15.75" customHeight="1">
      <c r="A62" s="47"/>
    </row>
    <row r="63" spans="1:1" ht="15.75" customHeight="1">
      <c r="A63" s="47"/>
    </row>
    <row r="64" spans="1:1" ht="15.75" customHeight="1">
      <c r="A64" s="47"/>
    </row>
    <row r="65" spans="1:1" ht="15.75" customHeight="1">
      <c r="A65" s="47"/>
    </row>
    <row r="66" spans="1:1" ht="15.75" customHeight="1">
      <c r="A66" s="47"/>
    </row>
    <row r="67" spans="1:1" ht="15.75" customHeight="1">
      <c r="A67" s="47"/>
    </row>
    <row r="68" spans="1:1" ht="15.75" customHeight="1">
      <c r="A68" s="47"/>
    </row>
    <row r="69" spans="1:1" ht="15.75" customHeight="1">
      <c r="A69" s="47"/>
    </row>
    <row r="70" spans="1:1" ht="15.75" customHeight="1">
      <c r="A70" s="47"/>
    </row>
    <row r="71" spans="1:1" ht="15.75" customHeight="1">
      <c r="A71" s="47"/>
    </row>
    <row r="72" spans="1:1" ht="15.75" customHeight="1">
      <c r="A72" s="47"/>
    </row>
    <row r="73" spans="1:1" ht="15.75" customHeight="1">
      <c r="A73" s="47"/>
    </row>
    <row r="74" spans="1:1" ht="15.75" customHeight="1">
      <c r="A74" s="47"/>
    </row>
    <row r="75" spans="1:1" ht="15.75" customHeight="1">
      <c r="A75" s="47"/>
    </row>
    <row r="76" spans="1:1" ht="15.75" customHeight="1">
      <c r="A76" s="47"/>
    </row>
    <row r="77" spans="1:1" ht="15.75" customHeight="1">
      <c r="A77" s="47"/>
    </row>
    <row r="78" spans="1:1" ht="15.75" customHeight="1">
      <c r="A78" s="47"/>
    </row>
    <row r="79" spans="1:1" ht="15.75" customHeight="1">
      <c r="A79" s="47"/>
    </row>
    <row r="80" spans="1:1" ht="15.75" customHeight="1">
      <c r="A80" s="47"/>
    </row>
    <row r="81" spans="1:1" ht="15.75" customHeight="1">
      <c r="A81" s="47"/>
    </row>
    <row r="82" spans="1:1" ht="15.75" customHeight="1">
      <c r="A82" s="47"/>
    </row>
    <row r="83" spans="1:1" ht="15.75" customHeight="1">
      <c r="A83" s="47"/>
    </row>
    <row r="84" spans="1:1" ht="15.75" customHeight="1">
      <c r="A84" s="47"/>
    </row>
    <row r="85" spans="1:1" ht="15.75" customHeight="1">
      <c r="A85" s="47"/>
    </row>
    <row r="86" spans="1:1" ht="15.75" customHeight="1">
      <c r="A86" s="47"/>
    </row>
    <row r="87" spans="1:1" ht="15.75" customHeight="1">
      <c r="A87" s="47"/>
    </row>
    <row r="88" spans="1:1" ht="15.75" customHeight="1">
      <c r="A88" s="47"/>
    </row>
    <row r="89" spans="1:1" ht="15.75" customHeight="1">
      <c r="A89" s="47"/>
    </row>
    <row r="90" spans="1:1" ht="15.75" customHeight="1">
      <c r="A90" s="47"/>
    </row>
    <row r="91" spans="1:1" ht="15.75" customHeight="1">
      <c r="A91" s="47"/>
    </row>
    <row r="92" spans="1:1" ht="15.75" customHeight="1">
      <c r="A92" s="47"/>
    </row>
    <row r="93" spans="1:1" ht="15.75" customHeight="1">
      <c r="A93" s="47"/>
    </row>
    <row r="94" spans="1:1" ht="15.75" customHeight="1">
      <c r="A94" s="47"/>
    </row>
    <row r="95" spans="1:1" ht="15.75" customHeight="1">
      <c r="A95" s="47"/>
    </row>
    <row r="96" spans="1:1" ht="15.75" customHeight="1">
      <c r="A96" s="47"/>
    </row>
    <row r="97" spans="1:1" ht="15.75" customHeight="1">
      <c r="A97" s="47"/>
    </row>
    <row r="98" spans="1:1" ht="15.75" customHeight="1">
      <c r="A98" s="47"/>
    </row>
    <row r="99" spans="1:1" ht="15.75" customHeight="1">
      <c r="A99" s="47"/>
    </row>
    <row r="100" spans="1:1" ht="15.75" customHeight="1">
      <c r="A100" s="47"/>
    </row>
    <row r="101" spans="1:1" ht="15.75" customHeight="1">
      <c r="A101" s="47"/>
    </row>
    <row r="102" spans="1:1" ht="15.75" customHeight="1">
      <c r="A102" s="47"/>
    </row>
    <row r="103" spans="1:1" ht="15.75" customHeight="1">
      <c r="A103" s="47"/>
    </row>
    <row r="104" spans="1:1" ht="15.75" customHeight="1">
      <c r="A104" s="47"/>
    </row>
    <row r="105" spans="1:1" ht="15.75" customHeight="1">
      <c r="A105" s="47"/>
    </row>
    <row r="106" spans="1:1" ht="15.75" customHeight="1">
      <c r="A106" s="47"/>
    </row>
    <row r="107" spans="1:1" ht="15.75" customHeight="1">
      <c r="A107" s="47"/>
    </row>
    <row r="108" spans="1:1" ht="15.75" customHeight="1">
      <c r="A108" s="47"/>
    </row>
    <row r="109" spans="1:1" ht="15.75" customHeight="1">
      <c r="A109" s="47"/>
    </row>
    <row r="110" spans="1:1" ht="15.75" customHeight="1">
      <c r="A110" s="47"/>
    </row>
    <row r="111" spans="1:1" ht="15.75" customHeight="1">
      <c r="A111" s="47"/>
    </row>
    <row r="112" spans="1:1" ht="15.75" customHeight="1">
      <c r="A112" s="47"/>
    </row>
    <row r="113" spans="1:1" ht="15.75" customHeight="1">
      <c r="A113" s="47"/>
    </row>
    <row r="114" spans="1:1" ht="15.75" customHeight="1">
      <c r="A114" s="47"/>
    </row>
    <row r="115" spans="1:1" ht="15.75" customHeight="1">
      <c r="A115" s="47"/>
    </row>
    <row r="116" spans="1:1" ht="15.75" customHeight="1">
      <c r="A116" s="47"/>
    </row>
    <row r="117" spans="1:1" ht="15.75" customHeight="1">
      <c r="A117" s="47"/>
    </row>
    <row r="118" spans="1:1" ht="15.75" customHeight="1">
      <c r="A118" s="47"/>
    </row>
    <row r="119" spans="1:1" ht="15.75" customHeight="1">
      <c r="A119" s="47"/>
    </row>
    <row r="120" spans="1:1" ht="15.75" customHeight="1">
      <c r="A120" s="47"/>
    </row>
    <row r="121" spans="1:1" ht="15.75" customHeight="1">
      <c r="A121" s="47"/>
    </row>
    <row r="122" spans="1:1" ht="15.75" customHeight="1">
      <c r="A122" s="47"/>
    </row>
    <row r="123" spans="1:1" ht="15.75" customHeight="1">
      <c r="A123" s="47"/>
    </row>
    <row r="124" spans="1:1" ht="15.75" customHeight="1">
      <c r="A124" s="47"/>
    </row>
    <row r="125" spans="1:1" ht="15.75" customHeight="1">
      <c r="A125" s="47"/>
    </row>
    <row r="126" spans="1:1" ht="15.75" customHeight="1">
      <c r="A126" s="47"/>
    </row>
    <row r="127" spans="1:1" ht="15.75" customHeight="1">
      <c r="A127" s="47"/>
    </row>
    <row r="128" spans="1:1" ht="15.75" customHeight="1">
      <c r="A128" s="47"/>
    </row>
    <row r="129" spans="1:1" ht="15.75" customHeight="1">
      <c r="A129" s="47"/>
    </row>
    <row r="130" spans="1:1" ht="15.75" customHeight="1">
      <c r="A130" s="47"/>
    </row>
    <row r="131" spans="1:1" ht="15.75" customHeight="1">
      <c r="A131" s="47"/>
    </row>
    <row r="132" spans="1:1" ht="15.75" customHeight="1">
      <c r="A132" s="47"/>
    </row>
    <row r="133" spans="1:1" ht="15.75" customHeight="1">
      <c r="A133" s="47"/>
    </row>
    <row r="134" spans="1:1" ht="15.75" customHeight="1">
      <c r="A134" s="47"/>
    </row>
    <row r="135" spans="1:1" ht="15.75" customHeight="1">
      <c r="A135" s="47"/>
    </row>
    <row r="136" spans="1:1" ht="15.75" customHeight="1">
      <c r="A136" s="47"/>
    </row>
    <row r="137" spans="1:1" ht="15.75" customHeight="1">
      <c r="A137" s="47"/>
    </row>
    <row r="138" spans="1:1" ht="15.75" customHeight="1">
      <c r="A138" s="47"/>
    </row>
    <row r="139" spans="1:1" ht="15.75" customHeight="1">
      <c r="A139" s="47"/>
    </row>
    <row r="140" spans="1:1" ht="15.75" customHeight="1">
      <c r="A140" s="47"/>
    </row>
    <row r="141" spans="1:1" ht="15.75" customHeight="1">
      <c r="A141" s="47"/>
    </row>
    <row r="142" spans="1:1" ht="15.75" customHeight="1">
      <c r="A142" s="47"/>
    </row>
    <row r="143" spans="1:1" ht="15.75" customHeight="1">
      <c r="A143" s="47"/>
    </row>
    <row r="144" spans="1:1" ht="15.75" customHeight="1">
      <c r="A144" s="47"/>
    </row>
    <row r="145" spans="1:1" ht="15.75" customHeight="1">
      <c r="A145" s="47"/>
    </row>
    <row r="146" spans="1:1" ht="15.75" customHeight="1">
      <c r="A146" s="47"/>
    </row>
    <row r="147" spans="1:1" ht="15.75" customHeight="1">
      <c r="A147" s="47"/>
    </row>
    <row r="148" spans="1:1" ht="15.75" customHeight="1">
      <c r="A148" s="47"/>
    </row>
    <row r="149" spans="1:1" ht="15.75" customHeight="1">
      <c r="A149" s="47"/>
    </row>
    <row r="150" spans="1:1" ht="15.75" customHeight="1">
      <c r="A150" s="47"/>
    </row>
    <row r="151" spans="1:1" ht="15.75" customHeight="1">
      <c r="A151" s="47"/>
    </row>
    <row r="152" spans="1:1" ht="15.75" customHeight="1">
      <c r="A152" s="47"/>
    </row>
    <row r="153" spans="1:1" ht="15.75" customHeight="1">
      <c r="A153" s="47"/>
    </row>
    <row r="154" spans="1:1" ht="15.75" customHeight="1">
      <c r="A154" s="47"/>
    </row>
    <row r="155" spans="1:1" ht="15.75" customHeight="1">
      <c r="A155" s="47"/>
    </row>
    <row r="156" spans="1:1" ht="15.75" customHeight="1">
      <c r="A156" s="47"/>
    </row>
    <row r="157" spans="1:1" ht="15.75" customHeight="1">
      <c r="A157" s="47"/>
    </row>
    <row r="158" spans="1:1" ht="15.75" customHeight="1">
      <c r="A158" s="47"/>
    </row>
    <row r="159" spans="1:1" ht="15.75" customHeight="1">
      <c r="A159" s="47"/>
    </row>
    <row r="160" spans="1:1" ht="15.75" customHeight="1">
      <c r="A160" s="47"/>
    </row>
    <row r="161" spans="1:1" ht="15.75" customHeight="1">
      <c r="A161" s="47"/>
    </row>
    <row r="162" spans="1:1" ht="15.75" customHeight="1">
      <c r="A162" s="47"/>
    </row>
    <row r="163" spans="1:1" ht="15.75" customHeight="1">
      <c r="A163" s="47"/>
    </row>
    <row r="164" spans="1:1" ht="15.75" customHeight="1">
      <c r="A164" s="47"/>
    </row>
    <row r="165" spans="1:1" ht="15.75" customHeight="1">
      <c r="A165" s="47"/>
    </row>
    <row r="166" spans="1:1" ht="15.75" customHeight="1">
      <c r="A166" s="47"/>
    </row>
    <row r="167" spans="1:1" ht="15.75" customHeight="1">
      <c r="A167" s="47"/>
    </row>
    <row r="168" spans="1:1" ht="15.75" customHeight="1">
      <c r="A168" s="47"/>
    </row>
    <row r="169" spans="1:1" ht="15.75" customHeight="1">
      <c r="A169" s="47"/>
    </row>
    <row r="170" spans="1:1" ht="15.75" customHeight="1">
      <c r="A170" s="47"/>
    </row>
    <row r="171" spans="1:1" ht="15.75" customHeight="1">
      <c r="A171" s="47"/>
    </row>
    <row r="172" spans="1:1" ht="15.75" customHeight="1">
      <c r="A172" s="47"/>
    </row>
    <row r="173" spans="1:1" ht="15.75" customHeight="1">
      <c r="A173" s="47"/>
    </row>
    <row r="174" spans="1:1" ht="15.75" customHeight="1">
      <c r="A174" s="47"/>
    </row>
    <row r="175" spans="1:1" ht="15.75" customHeight="1">
      <c r="A175" s="47"/>
    </row>
    <row r="176" spans="1:1" ht="15.75" customHeight="1">
      <c r="A176" s="47"/>
    </row>
    <row r="177" spans="1:1" ht="15.75" customHeight="1">
      <c r="A177" s="47"/>
    </row>
    <row r="178" spans="1:1" ht="15.75" customHeight="1">
      <c r="A178" s="47"/>
    </row>
    <row r="179" spans="1:1" ht="15.75" customHeight="1">
      <c r="A179" s="47"/>
    </row>
    <row r="180" spans="1:1" ht="15.75" customHeight="1">
      <c r="A180" s="47"/>
    </row>
    <row r="181" spans="1:1" ht="15.75" customHeight="1">
      <c r="A181" s="47"/>
    </row>
    <row r="182" spans="1:1" ht="15.75" customHeight="1">
      <c r="A182" s="47"/>
    </row>
    <row r="183" spans="1:1" ht="15.75" customHeight="1">
      <c r="A183" s="47"/>
    </row>
    <row r="184" spans="1:1" ht="15.75" customHeight="1">
      <c r="A184" s="47"/>
    </row>
    <row r="185" spans="1:1" ht="15.75" customHeight="1">
      <c r="A185" s="47"/>
    </row>
    <row r="186" spans="1:1" ht="15.75" customHeight="1">
      <c r="A186" s="47"/>
    </row>
    <row r="187" spans="1:1" ht="15.75" customHeight="1">
      <c r="A187" s="47"/>
    </row>
    <row r="188" spans="1:1" ht="15.75" customHeight="1">
      <c r="A188" s="47"/>
    </row>
    <row r="189" spans="1:1" ht="15.75" customHeight="1">
      <c r="A189" s="47"/>
    </row>
    <row r="190" spans="1:1" ht="15.75" customHeight="1">
      <c r="A190" s="47"/>
    </row>
    <row r="191" spans="1:1" ht="15.75" customHeight="1">
      <c r="A191" s="47"/>
    </row>
    <row r="192" spans="1:1" ht="15.75" customHeight="1">
      <c r="A192" s="47"/>
    </row>
    <row r="193" spans="1:1" ht="15.75" customHeight="1">
      <c r="A193" s="47"/>
    </row>
    <row r="194" spans="1:1" ht="15.75" customHeight="1">
      <c r="A194" s="47"/>
    </row>
    <row r="195" spans="1:1" ht="15.75" customHeight="1">
      <c r="A195" s="47"/>
    </row>
    <row r="196" spans="1:1" ht="15.75" customHeight="1">
      <c r="A196" s="47"/>
    </row>
    <row r="197" spans="1:1" ht="15.75" customHeight="1">
      <c r="A197" s="47"/>
    </row>
    <row r="198" spans="1:1" ht="15.75" customHeight="1">
      <c r="A198" s="47"/>
    </row>
    <row r="199" spans="1:1" ht="15.75" customHeight="1">
      <c r="A199" s="47"/>
    </row>
    <row r="200" spans="1:1" ht="15.75" customHeight="1">
      <c r="A200" s="47"/>
    </row>
    <row r="201" spans="1:1" ht="15.75" customHeight="1">
      <c r="A201" s="47"/>
    </row>
    <row r="202" spans="1:1" ht="15.75" customHeight="1">
      <c r="A202" s="47"/>
    </row>
    <row r="203" spans="1:1" ht="15.75" customHeight="1">
      <c r="A203" s="47"/>
    </row>
    <row r="204" spans="1:1" ht="15.75" customHeight="1">
      <c r="A204" s="47"/>
    </row>
    <row r="205" spans="1:1" ht="15.75" customHeight="1">
      <c r="A205" s="47"/>
    </row>
    <row r="206" spans="1:1" ht="15.75" customHeight="1">
      <c r="A206" s="47"/>
    </row>
    <row r="207" spans="1:1" ht="15.75" customHeight="1">
      <c r="A207" s="47"/>
    </row>
    <row r="208" spans="1:1" ht="15.75" customHeight="1">
      <c r="A208" s="47"/>
    </row>
    <row r="209" spans="1:1" ht="15.75" customHeight="1">
      <c r="A209" s="47"/>
    </row>
    <row r="210" spans="1:1" ht="15.75" customHeight="1">
      <c r="A210" s="47"/>
    </row>
    <row r="211" spans="1:1" ht="15.75" customHeight="1">
      <c r="A211" s="47"/>
    </row>
    <row r="212" spans="1:1" ht="15.75" customHeight="1">
      <c r="A212" s="47"/>
    </row>
    <row r="213" spans="1:1" ht="15.75" customHeight="1">
      <c r="A213" s="47"/>
    </row>
    <row r="214" spans="1:1" ht="15.75" customHeight="1">
      <c r="A214" s="47"/>
    </row>
    <row r="215" spans="1:1" ht="15.75" customHeight="1">
      <c r="A215" s="47"/>
    </row>
    <row r="216" spans="1:1" ht="15.75" customHeight="1">
      <c r="A216" s="47"/>
    </row>
    <row r="217" spans="1:1" ht="15.75" customHeight="1">
      <c r="A217" s="47"/>
    </row>
    <row r="218" spans="1:1" ht="15.75" customHeight="1">
      <c r="A218" s="47"/>
    </row>
    <row r="219" spans="1:1" ht="15.75" customHeight="1">
      <c r="A219" s="47"/>
    </row>
    <row r="220" spans="1:1" ht="15.75" customHeight="1">
      <c r="A220" s="47"/>
    </row>
    <row r="221" spans="1:1" ht="15.75" customHeight="1">
      <c r="A221" s="47"/>
    </row>
    <row r="222" spans="1:1" ht="15.75" customHeight="1">
      <c r="A222" s="47"/>
    </row>
    <row r="223" spans="1:1" ht="15.75" customHeight="1">
      <c r="A223" s="47"/>
    </row>
    <row r="224" spans="1:1" ht="15.75" customHeight="1">
      <c r="A224" s="47"/>
    </row>
    <row r="225" spans="1:1" ht="15.75" customHeight="1">
      <c r="A225" s="47"/>
    </row>
    <row r="226" spans="1:1" ht="15.75" customHeight="1">
      <c r="A226" s="47"/>
    </row>
    <row r="227" spans="1:1" ht="15.75" customHeight="1">
      <c r="A227" s="47"/>
    </row>
    <row r="228" spans="1:1" ht="15.75" customHeight="1">
      <c r="A228" s="47"/>
    </row>
    <row r="229" spans="1:1" ht="15.75" customHeight="1">
      <c r="A229" s="47"/>
    </row>
    <row r="230" spans="1:1" ht="15.75" customHeight="1">
      <c r="A230" s="47"/>
    </row>
    <row r="231" spans="1:1" ht="15.75" customHeight="1">
      <c r="A231" s="47"/>
    </row>
    <row r="232" spans="1:1" ht="15.75" customHeight="1">
      <c r="A232" s="47"/>
    </row>
    <row r="233" spans="1:1" ht="15.75" customHeight="1">
      <c r="A233" s="47"/>
    </row>
    <row r="234" spans="1:1" ht="15.75" customHeight="1">
      <c r="A234" s="47"/>
    </row>
    <row r="235" spans="1:1" ht="15.75" customHeight="1">
      <c r="A235" s="47"/>
    </row>
    <row r="236" spans="1:1" ht="15.75" customHeight="1">
      <c r="A236" s="47"/>
    </row>
    <row r="237" spans="1:1" ht="15.75" customHeight="1">
      <c r="A237" s="47"/>
    </row>
    <row r="238" spans="1:1" ht="15.75" customHeight="1">
      <c r="A238" s="47"/>
    </row>
    <row r="239" spans="1:1" ht="15.75" customHeight="1">
      <c r="A239" s="47"/>
    </row>
    <row r="240" spans="1:1" ht="15.75" customHeight="1">
      <c r="A240" s="47"/>
    </row>
    <row r="241" spans="1:1" ht="15.75" customHeight="1">
      <c r="A241" s="47"/>
    </row>
    <row r="242" spans="1:1" ht="15.75" customHeight="1">
      <c r="A242" s="47"/>
    </row>
    <row r="243" spans="1:1" ht="15.75" customHeight="1">
      <c r="A243" s="47"/>
    </row>
    <row r="244" spans="1:1" ht="15.75" customHeight="1">
      <c r="A244" s="47"/>
    </row>
    <row r="245" spans="1:1" ht="15.75" customHeight="1">
      <c r="A245" s="47"/>
    </row>
    <row r="246" spans="1:1" ht="15.75" customHeight="1">
      <c r="A246" s="47"/>
    </row>
    <row r="247" spans="1:1" ht="15.75" customHeight="1">
      <c r="A247" s="47"/>
    </row>
    <row r="248" spans="1:1" ht="15.75" customHeight="1">
      <c r="A248" s="47"/>
    </row>
    <row r="249" spans="1:1" ht="15.75" customHeight="1">
      <c r="A249" s="47"/>
    </row>
    <row r="250" spans="1:1" ht="15.75" customHeight="1">
      <c r="A250" s="47"/>
    </row>
    <row r="251" spans="1:1" ht="15.75" customHeight="1">
      <c r="A251" s="47"/>
    </row>
    <row r="252" spans="1:1" ht="15.75" customHeight="1">
      <c r="A252" s="47"/>
    </row>
    <row r="253" spans="1:1" ht="15.75" customHeight="1">
      <c r="A253" s="47"/>
    </row>
    <row r="254" spans="1:1" ht="15.75" customHeight="1">
      <c r="A254" s="47"/>
    </row>
    <row r="255" spans="1:1" ht="15.75" customHeight="1">
      <c r="A255" s="47"/>
    </row>
    <row r="256" spans="1:1" ht="15.75" customHeight="1">
      <c r="A256" s="47"/>
    </row>
    <row r="257" spans="1:1" ht="15.75" customHeight="1">
      <c r="A257" s="47"/>
    </row>
    <row r="258" spans="1:1" ht="15.75" customHeight="1">
      <c r="A258" s="47"/>
    </row>
    <row r="259" spans="1:1" ht="15.75" customHeight="1">
      <c r="A259" s="47"/>
    </row>
    <row r="260" spans="1:1" ht="15.75" customHeight="1">
      <c r="A260" s="47"/>
    </row>
    <row r="261" spans="1:1" ht="15.75" customHeight="1">
      <c r="A261" s="47"/>
    </row>
    <row r="262" spans="1:1" ht="15.75" customHeight="1">
      <c r="A262" s="47"/>
    </row>
    <row r="263" spans="1:1" ht="15.75" customHeight="1">
      <c r="A263" s="47"/>
    </row>
    <row r="264" spans="1:1" ht="15.75" customHeight="1">
      <c r="A264" s="47"/>
    </row>
    <row r="265" spans="1:1" ht="15.75" customHeight="1">
      <c r="A265" s="47"/>
    </row>
    <row r="266" spans="1:1" ht="15.75" customHeight="1">
      <c r="A266" s="47"/>
    </row>
    <row r="267" spans="1:1" ht="15.75" customHeight="1">
      <c r="A267" s="47"/>
    </row>
    <row r="268" spans="1:1" ht="15.75" customHeight="1">
      <c r="A268" s="47"/>
    </row>
    <row r="269" spans="1:1" ht="15.75" customHeight="1">
      <c r="A269" s="47"/>
    </row>
    <row r="270" spans="1:1" ht="15.75" customHeight="1">
      <c r="A270" s="47"/>
    </row>
    <row r="271" spans="1:1" ht="15.75" customHeight="1">
      <c r="A271" s="47"/>
    </row>
    <row r="272" spans="1:1" ht="15.75" customHeight="1">
      <c r="A272" s="47"/>
    </row>
    <row r="273" spans="1:1" ht="15.75" customHeight="1">
      <c r="A273" s="47"/>
    </row>
    <row r="274" spans="1:1" ht="15.75" customHeight="1">
      <c r="A274" s="47"/>
    </row>
    <row r="275" spans="1:1" ht="15.75" customHeight="1">
      <c r="A275" s="47"/>
    </row>
    <row r="276" spans="1:1" ht="15.75" customHeight="1">
      <c r="A276" s="47"/>
    </row>
    <row r="277" spans="1:1" ht="15.75" customHeight="1">
      <c r="A277" s="47"/>
    </row>
    <row r="278" spans="1:1" ht="15.75" customHeight="1">
      <c r="A278" s="47"/>
    </row>
    <row r="279" spans="1:1" ht="15.75" customHeight="1">
      <c r="A279" s="47"/>
    </row>
    <row r="280" spans="1:1" ht="15.75" customHeight="1">
      <c r="A280" s="47"/>
    </row>
    <row r="281" spans="1:1" ht="15.75" customHeight="1">
      <c r="A281" s="47"/>
    </row>
    <row r="282" spans="1:1" ht="15.75" customHeight="1">
      <c r="A282" s="47"/>
    </row>
    <row r="283" spans="1:1" ht="15.75" customHeight="1">
      <c r="A283" s="47"/>
    </row>
    <row r="284" spans="1:1" ht="15.75" customHeight="1">
      <c r="A284" s="47"/>
    </row>
    <row r="285" spans="1:1" ht="15.75" customHeight="1">
      <c r="A285" s="47"/>
    </row>
    <row r="286" spans="1:1" ht="15.75" customHeight="1">
      <c r="A286" s="47"/>
    </row>
    <row r="287" spans="1:1" ht="15.75" customHeight="1">
      <c r="A287" s="47"/>
    </row>
    <row r="288" spans="1:1" ht="15.75" customHeight="1">
      <c r="A288" s="47"/>
    </row>
    <row r="289" spans="1:1" ht="15.75" customHeight="1">
      <c r="A289" s="47"/>
    </row>
    <row r="290" spans="1:1" ht="15.75" customHeight="1">
      <c r="A290" s="47"/>
    </row>
    <row r="291" spans="1:1" ht="15.75" customHeight="1">
      <c r="A291" s="47"/>
    </row>
    <row r="292" spans="1:1" ht="15.75" customHeight="1">
      <c r="A292" s="47"/>
    </row>
    <row r="293" spans="1:1" ht="15.75" customHeight="1">
      <c r="A293" s="47"/>
    </row>
    <row r="294" spans="1:1" ht="15.75" customHeight="1">
      <c r="A294" s="47"/>
    </row>
    <row r="295" spans="1:1" ht="15.75" customHeight="1">
      <c r="A295" s="47"/>
    </row>
    <row r="296" spans="1:1" ht="15.75" customHeight="1">
      <c r="A296" s="47"/>
    </row>
    <row r="297" spans="1:1" ht="15.75" customHeight="1">
      <c r="A297" s="47"/>
    </row>
    <row r="298" spans="1:1" ht="15.75" customHeight="1">
      <c r="A298" s="47"/>
    </row>
    <row r="299" spans="1:1" ht="15.75" customHeight="1">
      <c r="A299" s="47"/>
    </row>
    <row r="300" spans="1:1" ht="15.75" customHeight="1">
      <c r="A300" s="47"/>
    </row>
    <row r="301" spans="1:1" ht="15.75" customHeight="1">
      <c r="A301" s="47"/>
    </row>
    <row r="302" spans="1:1" ht="15.75" customHeight="1">
      <c r="A302" s="47"/>
    </row>
    <row r="303" spans="1:1" ht="15.75" customHeight="1">
      <c r="A303" s="47"/>
    </row>
    <row r="304" spans="1:1" ht="15.75" customHeight="1">
      <c r="A304" s="47"/>
    </row>
    <row r="305" spans="1:1" ht="15.75" customHeight="1">
      <c r="A305" s="47"/>
    </row>
    <row r="306" spans="1:1" ht="15.75" customHeight="1">
      <c r="A306" s="47"/>
    </row>
    <row r="307" spans="1:1" ht="15.75" customHeight="1">
      <c r="A307" s="47"/>
    </row>
    <row r="308" spans="1:1" ht="15.75" customHeight="1">
      <c r="A308" s="47"/>
    </row>
    <row r="309" spans="1:1" ht="15.75" customHeight="1">
      <c r="A309" s="47"/>
    </row>
    <row r="310" spans="1:1" ht="15.75" customHeight="1">
      <c r="A310" s="47"/>
    </row>
    <row r="311" spans="1:1" ht="15.75" customHeight="1">
      <c r="A311" s="47"/>
    </row>
    <row r="312" spans="1:1" ht="15.75" customHeight="1">
      <c r="A312" s="47"/>
    </row>
    <row r="313" spans="1:1" ht="15.75" customHeight="1">
      <c r="A313" s="47"/>
    </row>
    <row r="314" spans="1:1" ht="15.75" customHeight="1">
      <c r="A314" s="47"/>
    </row>
    <row r="315" spans="1:1" ht="15.75" customHeight="1">
      <c r="A315" s="47"/>
    </row>
    <row r="316" spans="1:1" ht="15.75" customHeight="1">
      <c r="A316" s="47"/>
    </row>
    <row r="317" spans="1:1" ht="15.75" customHeight="1">
      <c r="A317" s="47"/>
    </row>
    <row r="318" spans="1:1" ht="15.75" customHeight="1">
      <c r="A318" s="47"/>
    </row>
    <row r="319" spans="1:1" ht="15.75" customHeight="1">
      <c r="A319" s="47"/>
    </row>
    <row r="320" spans="1:1" ht="15.75" customHeight="1">
      <c r="A320" s="47"/>
    </row>
    <row r="321" spans="1:1" ht="15.75" customHeight="1">
      <c r="A321" s="47"/>
    </row>
    <row r="322" spans="1:1" ht="15.75" customHeight="1">
      <c r="A322" s="47"/>
    </row>
    <row r="323" spans="1:1" ht="15.75" customHeight="1">
      <c r="A323" s="47"/>
    </row>
    <row r="324" spans="1:1" ht="15.75" customHeight="1">
      <c r="A324" s="47"/>
    </row>
    <row r="325" spans="1:1" ht="15.75" customHeight="1">
      <c r="A325" s="47"/>
    </row>
    <row r="326" spans="1:1" ht="15.75" customHeight="1">
      <c r="A326" s="47"/>
    </row>
    <row r="327" spans="1:1" ht="15.75" customHeight="1">
      <c r="A327" s="47"/>
    </row>
    <row r="328" spans="1:1" ht="15.75" customHeight="1">
      <c r="A328" s="47"/>
    </row>
    <row r="329" spans="1:1" ht="15.75" customHeight="1">
      <c r="A329" s="47"/>
    </row>
    <row r="330" spans="1:1" ht="15.75" customHeight="1">
      <c r="A330" s="47"/>
    </row>
    <row r="331" spans="1:1" ht="15.75" customHeight="1">
      <c r="A331" s="47"/>
    </row>
    <row r="332" spans="1:1" ht="15.75" customHeight="1">
      <c r="A332" s="47"/>
    </row>
    <row r="333" spans="1:1" ht="15.75" customHeight="1">
      <c r="A333" s="47"/>
    </row>
    <row r="334" spans="1:1" ht="15.75" customHeight="1">
      <c r="A334" s="47"/>
    </row>
    <row r="335" spans="1:1" ht="15.75" customHeight="1">
      <c r="A335" s="47"/>
    </row>
    <row r="336" spans="1:1" ht="15.75" customHeight="1">
      <c r="A336" s="47"/>
    </row>
    <row r="337" spans="1:1" ht="15.75" customHeight="1">
      <c r="A337" s="47"/>
    </row>
    <row r="338" spans="1:1" ht="15.75" customHeight="1">
      <c r="A338" s="47"/>
    </row>
    <row r="339" spans="1:1" ht="15.75" customHeight="1">
      <c r="A339" s="47"/>
    </row>
    <row r="340" spans="1:1" ht="15.75" customHeight="1">
      <c r="A340" s="47"/>
    </row>
    <row r="341" spans="1:1" ht="15.75" customHeight="1">
      <c r="A341" s="47"/>
    </row>
    <row r="342" spans="1:1" ht="15.75" customHeight="1">
      <c r="A342" s="47"/>
    </row>
    <row r="343" spans="1:1" ht="15.75" customHeight="1">
      <c r="A343" s="47"/>
    </row>
    <row r="344" spans="1:1" ht="15.75" customHeight="1">
      <c r="A344" s="47"/>
    </row>
    <row r="345" spans="1:1" ht="15.75" customHeight="1">
      <c r="A345" s="47"/>
    </row>
    <row r="346" spans="1:1" ht="15.75" customHeight="1">
      <c r="A346" s="47"/>
    </row>
    <row r="347" spans="1:1" ht="15.75" customHeight="1">
      <c r="A347" s="47"/>
    </row>
    <row r="348" spans="1:1" ht="15.75" customHeight="1">
      <c r="A348" s="47"/>
    </row>
    <row r="349" spans="1:1" ht="15.75" customHeight="1">
      <c r="A349" s="47"/>
    </row>
    <row r="350" spans="1:1" ht="15.75" customHeight="1">
      <c r="A350" s="47"/>
    </row>
    <row r="351" spans="1:1" ht="15.75" customHeight="1">
      <c r="A351" s="47"/>
    </row>
    <row r="352" spans="1:1" ht="15.75" customHeight="1">
      <c r="A352" s="47"/>
    </row>
    <row r="353" spans="1:1" ht="15.75" customHeight="1">
      <c r="A353" s="47"/>
    </row>
    <row r="354" spans="1:1" ht="15.75" customHeight="1">
      <c r="A354" s="47"/>
    </row>
    <row r="355" spans="1:1" ht="15.75" customHeight="1">
      <c r="A355" s="47"/>
    </row>
    <row r="356" spans="1:1" ht="15.75" customHeight="1">
      <c r="A356" s="47"/>
    </row>
    <row r="357" spans="1:1" ht="15.75" customHeight="1">
      <c r="A357" s="47"/>
    </row>
    <row r="358" spans="1:1" ht="15.75" customHeight="1">
      <c r="A358" s="47"/>
    </row>
    <row r="359" spans="1:1" ht="15.75" customHeight="1">
      <c r="A359" s="47"/>
    </row>
    <row r="360" spans="1:1" ht="15.75" customHeight="1">
      <c r="A360" s="47"/>
    </row>
    <row r="361" spans="1:1" ht="15.75" customHeight="1">
      <c r="A361" s="47"/>
    </row>
    <row r="362" spans="1:1" ht="15.75" customHeight="1">
      <c r="A362" s="47"/>
    </row>
    <row r="363" spans="1:1" ht="15.75" customHeight="1">
      <c r="A363" s="47"/>
    </row>
    <row r="364" spans="1:1" ht="15.75" customHeight="1">
      <c r="A364" s="47"/>
    </row>
    <row r="365" spans="1:1" ht="15.75" customHeight="1">
      <c r="A365" s="47"/>
    </row>
    <row r="366" spans="1:1" ht="15.75" customHeight="1">
      <c r="A366" s="47"/>
    </row>
    <row r="367" spans="1:1" ht="15.75" customHeight="1">
      <c r="A367" s="47"/>
    </row>
    <row r="368" spans="1:1" ht="15.75" customHeight="1">
      <c r="A368" s="47"/>
    </row>
    <row r="369" spans="1:1" ht="15.75" customHeight="1">
      <c r="A369" s="47"/>
    </row>
    <row r="370" spans="1:1" ht="15.75" customHeight="1">
      <c r="A370" s="47"/>
    </row>
    <row r="371" spans="1:1" ht="15.75" customHeight="1">
      <c r="A371" s="47"/>
    </row>
    <row r="372" spans="1:1" ht="15.75" customHeight="1">
      <c r="A372" s="47"/>
    </row>
    <row r="373" spans="1:1" ht="15.75" customHeight="1">
      <c r="A373" s="47"/>
    </row>
    <row r="374" spans="1:1" ht="15.75" customHeight="1">
      <c r="A374" s="47"/>
    </row>
    <row r="375" spans="1:1" ht="15.75" customHeight="1">
      <c r="A375" s="47"/>
    </row>
    <row r="376" spans="1:1" ht="15.75" customHeight="1">
      <c r="A376" s="47"/>
    </row>
    <row r="377" spans="1:1" ht="15.75" customHeight="1">
      <c r="A377" s="47"/>
    </row>
    <row r="378" spans="1:1" ht="15.75" customHeight="1">
      <c r="A378" s="47"/>
    </row>
    <row r="379" spans="1:1" ht="15.75" customHeight="1">
      <c r="A379" s="47"/>
    </row>
    <row r="380" spans="1:1" ht="15.75" customHeight="1">
      <c r="A380" s="47"/>
    </row>
    <row r="381" spans="1:1" ht="15.75" customHeight="1">
      <c r="A381" s="47"/>
    </row>
    <row r="382" spans="1:1" ht="15.75" customHeight="1">
      <c r="A382" s="47"/>
    </row>
    <row r="383" spans="1:1" ht="15.75" customHeight="1">
      <c r="A383" s="47"/>
    </row>
    <row r="384" spans="1:1" ht="15.75" customHeight="1">
      <c r="A384" s="47"/>
    </row>
    <row r="385" spans="1:1" ht="15.75" customHeight="1">
      <c r="A385" s="47"/>
    </row>
    <row r="386" spans="1:1" ht="15.75" customHeight="1">
      <c r="A386" s="47"/>
    </row>
    <row r="387" spans="1:1" ht="15.75" customHeight="1">
      <c r="A387" s="47"/>
    </row>
    <row r="388" spans="1:1" ht="15.75" customHeight="1">
      <c r="A388" s="47"/>
    </row>
    <row r="389" spans="1:1" ht="15.75" customHeight="1">
      <c r="A389" s="47"/>
    </row>
    <row r="390" spans="1:1" ht="15.75" customHeight="1">
      <c r="A390" s="47"/>
    </row>
    <row r="391" spans="1:1" ht="15.75" customHeight="1">
      <c r="A391" s="47"/>
    </row>
    <row r="392" spans="1:1" ht="15.75" customHeight="1">
      <c r="A392" s="47"/>
    </row>
    <row r="393" spans="1:1" ht="15.75" customHeight="1">
      <c r="A393" s="47"/>
    </row>
    <row r="394" spans="1:1" ht="15.75" customHeight="1">
      <c r="A394" s="47"/>
    </row>
    <row r="395" spans="1:1" ht="15.75" customHeight="1">
      <c r="A395" s="47"/>
    </row>
    <row r="396" spans="1:1" ht="15.75" customHeight="1">
      <c r="A396" s="47"/>
    </row>
    <row r="397" spans="1:1" ht="15.75" customHeight="1">
      <c r="A397" s="47"/>
    </row>
    <row r="398" spans="1:1" ht="15.75" customHeight="1">
      <c r="A398" s="47"/>
    </row>
    <row r="399" spans="1:1" ht="15.75" customHeight="1">
      <c r="A399" s="47"/>
    </row>
    <row r="400" spans="1:1" ht="15.75" customHeight="1">
      <c r="A400" s="47"/>
    </row>
    <row r="401" spans="1:1" ht="15.75" customHeight="1">
      <c r="A401" s="47"/>
    </row>
    <row r="402" spans="1:1" ht="15.75" customHeight="1">
      <c r="A402" s="47"/>
    </row>
    <row r="403" spans="1:1" ht="15.75" customHeight="1">
      <c r="A403" s="47"/>
    </row>
    <row r="404" spans="1:1" ht="15.75" customHeight="1">
      <c r="A404" s="47"/>
    </row>
    <row r="405" spans="1:1" ht="15.75" customHeight="1">
      <c r="A405" s="47"/>
    </row>
    <row r="406" spans="1:1" ht="15.75" customHeight="1">
      <c r="A406" s="47"/>
    </row>
    <row r="407" spans="1:1" ht="15.75" customHeight="1">
      <c r="A407" s="47"/>
    </row>
    <row r="408" spans="1:1" ht="15.75" customHeight="1">
      <c r="A408" s="47"/>
    </row>
    <row r="409" spans="1:1" ht="15.75" customHeight="1">
      <c r="A409" s="47"/>
    </row>
    <row r="410" spans="1:1" ht="15.75" customHeight="1">
      <c r="A410" s="47"/>
    </row>
    <row r="411" spans="1:1" ht="15.75" customHeight="1">
      <c r="A411" s="47"/>
    </row>
    <row r="412" spans="1:1" ht="15.75" customHeight="1">
      <c r="A412" s="47"/>
    </row>
    <row r="413" spans="1:1" ht="15.75" customHeight="1">
      <c r="A413" s="47"/>
    </row>
    <row r="414" spans="1:1" ht="15.75" customHeight="1">
      <c r="A414" s="47"/>
    </row>
    <row r="415" spans="1:1" ht="15.75" customHeight="1">
      <c r="A415" s="47"/>
    </row>
    <row r="416" spans="1:1" ht="15.75" customHeight="1">
      <c r="A416" s="47"/>
    </row>
    <row r="417" spans="1:1" ht="15.75" customHeight="1">
      <c r="A417" s="47"/>
    </row>
    <row r="418" spans="1:1" ht="15.75" customHeight="1">
      <c r="A418" s="47"/>
    </row>
    <row r="419" spans="1:1" ht="15.75" customHeight="1">
      <c r="A419" s="47"/>
    </row>
    <row r="420" spans="1:1" ht="15.75" customHeight="1">
      <c r="A420" s="47"/>
    </row>
    <row r="421" spans="1:1" ht="15.75" customHeight="1">
      <c r="A421" s="47"/>
    </row>
    <row r="422" spans="1:1" ht="15.75" customHeight="1">
      <c r="A422" s="47"/>
    </row>
    <row r="423" spans="1:1" ht="15.75" customHeight="1">
      <c r="A423" s="47"/>
    </row>
    <row r="424" spans="1:1" ht="15.75" customHeight="1">
      <c r="A424" s="47"/>
    </row>
    <row r="425" spans="1:1" ht="15.75" customHeight="1">
      <c r="A425" s="47"/>
    </row>
    <row r="426" spans="1:1" ht="15.75" customHeight="1">
      <c r="A426" s="47"/>
    </row>
    <row r="427" spans="1:1" ht="15.75" customHeight="1">
      <c r="A427" s="47"/>
    </row>
    <row r="428" spans="1:1" ht="15.75" customHeight="1">
      <c r="A428" s="47"/>
    </row>
    <row r="429" spans="1:1" ht="15.75" customHeight="1">
      <c r="A429" s="47"/>
    </row>
    <row r="430" spans="1:1" ht="15.75" customHeight="1">
      <c r="A430" s="47"/>
    </row>
    <row r="431" spans="1:1" ht="15.75" customHeight="1">
      <c r="A431" s="47"/>
    </row>
    <row r="432" spans="1:1" ht="15.75" customHeight="1">
      <c r="A432" s="47"/>
    </row>
    <row r="433" spans="1:1" ht="15.75" customHeight="1">
      <c r="A433" s="47"/>
    </row>
    <row r="434" spans="1:1" ht="15.75" customHeight="1">
      <c r="A434" s="47"/>
    </row>
    <row r="435" spans="1:1" ht="15.75" customHeight="1">
      <c r="A435" s="47"/>
    </row>
    <row r="436" spans="1:1" ht="15.75" customHeight="1">
      <c r="A436" s="47"/>
    </row>
    <row r="437" spans="1:1" ht="15.75" customHeight="1">
      <c r="A437" s="47"/>
    </row>
    <row r="438" spans="1:1" ht="15.75" customHeight="1">
      <c r="A438" s="47"/>
    </row>
    <row r="439" spans="1:1" ht="15.75" customHeight="1">
      <c r="A439" s="47"/>
    </row>
    <row r="440" spans="1:1" ht="15.75" customHeight="1">
      <c r="A440" s="47"/>
    </row>
    <row r="441" spans="1:1" ht="15.75" customHeight="1">
      <c r="A441" s="47"/>
    </row>
    <row r="442" spans="1:1" ht="15.75" customHeight="1">
      <c r="A442" s="47"/>
    </row>
    <row r="443" spans="1:1" ht="15.75" customHeight="1">
      <c r="A443" s="47"/>
    </row>
    <row r="444" spans="1:1" ht="15.75" customHeight="1">
      <c r="A444" s="47"/>
    </row>
    <row r="445" spans="1:1" ht="15.75" customHeight="1">
      <c r="A445" s="47"/>
    </row>
    <row r="446" spans="1:1" ht="15.75" customHeight="1">
      <c r="A446" s="47"/>
    </row>
    <row r="447" spans="1:1" ht="15.75" customHeight="1">
      <c r="A447" s="47"/>
    </row>
    <row r="448" spans="1:1" ht="15.75" customHeight="1">
      <c r="A448" s="47"/>
    </row>
    <row r="449" spans="1:1" ht="15.75" customHeight="1">
      <c r="A449" s="47"/>
    </row>
    <row r="450" spans="1:1" ht="15.75" customHeight="1">
      <c r="A450" s="47"/>
    </row>
    <row r="451" spans="1:1" ht="15.75" customHeight="1">
      <c r="A451" s="47"/>
    </row>
    <row r="452" spans="1:1" ht="15.75" customHeight="1">
      <c r="A452" s="47"/>
    </row>
    <row r="453" spans="1:1" ht="15.75" customHeight="1">
      <c r="A453" s="47"/>
    </row>
    <row r="454" spans="1:1" ht="15.75" customHeight="1">
      <c r="A454" s="47"/>
    </row>
    <row r="455" spans="1:1" ht="15.75" customHeight="1">
      <c r="A455" s="47"/>
    </row>
    <row r="456" spans="1:1" ht="15.75" customHeight="1">
      <c r="A456" s="47"/>
    </row>
    <row r="457" spans="1:1" ht="15.75" customHeight="1">
      <c r="A457" s="47"/>
    </row>
    <row r="458" spans="1:1" ht="15.75" customHeight="1">
      <c r="A458" s="47"/>
    </row>
    <row r="459" spans="1:1" ht="15.75" customHeight="1">
      <c r="A459" s="47"/>
    </row>
    <row r="460" spans="1:1" ht="15.75" customHeight="1">
      <c r="A460" s="47"/>
    </row>
    <row r="461" spans="1:1" ht="15.75" customHeight="1">
      <c r="A461" s="47"/>
    </row>
    <row r="462" spans="1:1" ht="15.75" customHeight="1">
      <c r="A462" s="47"/>
    </row>
    <row r="463" spans="1:1" ht="15.75" customHeight="1">
      <c r="A463" s="47"/>
    </row>
    <row r="464" spans="1:1" ht="15.75" customHeight="1">
      <c r="A464" s="47"/>
    </row>
    <row r="465" spans="1:1" ht="15.75" customHeight="1">
      <c r="A465" s="47"/>
    </row>
    <row r="466" spans="1:1" ht="15.75" customHeight="1">
      <c r="A466" s="47"/>
    </row>
    <row r="467" spans="1:1" ht="15.75" customHeight="1">
      <c r="A467" s="47"/>
    </row>
    <row r="468" spans="1:1" ht="15.75" customHeight="1">
      <c r="A468" s="47"/>
    </row>
    <row r="469" spans="1:1" ht="15.75" customHeight="1">
      <c r="A469" s="47"/>
    </row>
    <row r="470" spans="1:1" ht="15.75" customHeight="1">
      <c r="A470" s="47"/>
    </row>
    <row r="471" spans="1:1" ht="15.75" customHeight="1">
      <c r="A471" s="47"/>
    </row>
    <row r="472" spans="1:1" ht="15.75" customHeight="1">
      <c r="A472" s="47"/>
    </row>
    <row r="473" spans="1:1" ht="15.75" customHeight="1">
      <c r="A473" s="47"/>
    </row>
    <row r="474" spans="1:1" ht="15.75" customHeight="1">
      <c r="A474" s="47"/>
    </row>
    <row r="475" spans="1:1" ht="15.75" customHeight="1">
      <c r="A475" s="47"/>
    </row>
    <row r="476" spans="1:1" ht="15.75" customHeight="1">
      <c r="A476" s="47"/>
    </row>
    <row r="477" spans="1:1" ht="15.75" customHeight="1">
      <c r="A477" s="47"/>
    </row>
    <row r="478" spans="1:1" ht="15.75" customHeight="1">
      <c r="A478" s="47"/>
    </row>
    <row r="479" spans="1:1" ht="15.75" customHeight="1">
      <c r="A479" s="47"/>
    </row>
    <row r="480" spans="1:1" ht="15.75" customHeight="1">
      <c r="A480" s="47"/>
    </row>
    <row r="481" spans="1:1" ht="15.75" customHeight="1">
      <c r="A481" s="47"/>
    </row>
    <row r="482" spans="1:1" ht="15.75" customHeight="1">
      <c r="A482" s="47"/>
    </row>
    <row r="483" spans="1:1" ht="15.75" customHeight="1">
      <c r="A483" s="47"/>
    </row>
    <row r="484" spans="1:1" ht="15.75" customHeight="1">
      <c r="A484" s="47"/>
    </row>
    <row r="485" spans="1:1" ht="15.75" customHeight="1">
      <c r="A485" s="47"/>
    </row>
    <row r="486" spans="1:1" ht="15.75" customHeight="1">
      <c r="A486" s="47"/>
    </row>
    <row r="487" spans="1:1" ht="15.75" customHeight="1">
      <c r="A487" s="47"/>
    </row>
    <row r="488" spans="1:1" ht="15.75" customHeight="1">
      <c r="A488" s="47"/>
    </row>
    <row r="489" spans="1:1" ht="15.75" customHeight="1">
      <c r="A489" s="47"/>
    </row>
    <row r="490" spans="1:1" ht="15.75" customHeight="1">
      <c r="A490" s="47"/>
    </row>
    <row r="491" spans="1:1" ht="15.75" customHeight="1">
      <c r="A491" s="47"/>
    </row>
    <row r="492" spans="1:1" ht="15.75" customHeight="1">
      <c r="A492" s="47"/>
    </row>
    <row r="493" spans="1:1" ht="15.75" customHeight="1">
      <c r="A493" s="47"/>
    </row>
    <row r="494" spans="1:1" ht="15.75" customHeight="1">
      <c r="A494" s="47"/>
    </row>
    <row r="495" spans="1:1" ht="15.75" customHeight="1">
      <c r="A495" s="47"/>
    </row>
    <row r="496" spans="1:1" ht="15.75" customHeight="1">
      <c r="A496" s="47"/>
    </row>
    <row r="497" spans="1:1" ht="15.75" customHeight="1">
      <c r="A497" s="47"/>
    </row>
    <row r="498" spans="1:1" ht="15.75" customHeight="1">
      <c r="A498" s="47"/>
    </row>
    <row r="499" spans="1:1" ht="15.75" customHeight="1">
      <c r="A499" s="47"/>
    </row>
    <row r="500" spans="1:1" ht="15.75" customHeight="1">
      <c r="A500" s="47"/>
    </row>
    <row r="501" spans="1:1" ht="15.75" customHeight="1">
      <c r="A501" s="47"/>
    </row>
    <row r="502" spans="1:1" ht="15.75" customHeight="1">
      <c r="A502" s="47"/>
    </row>
    <row r="503" spans="1:1" ht="15.75" customHeight="1">
      <c r="A503" s="47"/>
    </row>
    <row r="504" spans="1:1" ht="15.75" customHeight="1">
      <c r="A504" s="47"/>
    </row>
    <row r="505" spans="1:1" ht="15.75" customHeight="1">
      <c r="A505" s="47"/>
    </row>
    <row r="506" spans="1:1" ht="15.75" customHeight="1">
      <c r="A506" s="47"/>
    </row>
    <row r="507" spans="1:1" ht="15.75" customHeight="1">
      <c r="A507" s="47"/>
    </row>
    <row r="508" spans="1:1" ht="15.75" customHeight="1">
      <c r="A508" s="47"/>
    </row>
    <row r="509" spans="1:1" ht="15.75" customHeight="1">
      <c r="A509" s="47"/>
    </row>
    <row r="510" spans="1:1" ht="15.75" customHeight="1">
      <c r="A510" s="47"/>
    </row>
    <row r="511" spans="1:1" ht="15.75" customHeight="1">
      <c r="A511" s="47"/>
    </row>
    <row r="512" spans="1:1" ht="15.75" customHeight="1">
      <c r="A512" s="47"/>
    </row>
    <row r="513" spans="1:1" ht="15.75" customHeight="1">
      <c r="A513" s="47"/>
    </row>
    <row r="514" spans="1:1" ht="15.75" customHeight="1">
      <c r="A514" s="47"/>
    </row>
    <row r="515" spans="1:1" ht="15.75" customHeight="1">
      <c r="A515" s="47"/>
    </row>
    <row r="516" spans="1:1" ht="15.75" customHeight="1">
      <c r="A516" s="47"/>
    </row>
    <row r="517" spans="1:1" ht="15.75" customHeight="1">
      <c r="A517" s="47"/>
    </row>
    <row r="518" spans="1:1" ht="15.75" customHeight="1">
      <c r="A518" s="47"/>
    </row>
    <row r="519" spans="1:1" ht="15.75" customHeight="1">
      <c r="A519" s="47"/>
    </row>
    <row r="520" spans="1:1" ht="15.75" customHeight="1">
      <c r="A520" s="47"/>
    </row>
    <row r="521" spans="1:1" ht="15.75" customHeight="1">
      <c r="A521" s="47"/>
    </row>
    <row r="522" spans="1:1" ht="15.75" customHeight="1">
      <c r="A522" s="47"/>
    </row>
    <row r="523" spans="1:1" ht="15.75" customHeight="1">
      <c r="A523" s="47"/>
    </row>
    <row r="524" spans="1:1" ht="15.75" customHeight="1">
      <c r="A524" s="47"/>
    </row>
    <row r="525" spans="1:1" ht="15.75" customHeight="1">
      <c r="A525" s="47"/>
    </row>
    <row r="526" spans="1:1" ht="15.75" customHeight="1">
      <c r="A526" s="47"/>
    </row>
    <row r="527" spans="1:1" ht="15.75" customHeight="1">
      <c r="A527" s="47"/>
    </row>
    <row r="528" spans="1:1" ht="15.75" customHeight="1">
      <c r="A528" s="47"/>
    </row>
    <row r="529" spans="1:1" ht="15.75" customHeight="1">
      <c r="A529" s="47"/>
    </row>
    <row r="530" spans="1:1" ht="15.75" customHeight="1">
      <c r="A530" s="47"/>
    </row>
    <row r="531" spans="1:1" ht="15.75" customHeight="1">
      <c r="A531" s="47"/>
    </row>
    <row r="532" spans="1:1" ht="15.75" customHeight="1">
      <c r="A532" s="47"/>
    </row>
    <row r="533" spans="1:1" ht="15.75" customHeight="1">
      <c r="A533" s="47"/>
    </row>
    <row r="534" spans="1:1" ht="15.75" customHeight="1">
      <c r="A534" s="47"/>
    </row>
    <row r="535" spans="1:1" ht="15.75" customHeight="1">
      <c r="A535" s="47"/>
    </row>
    <row r="536" spans="1:1" ht="15.75" customHeight="1">
      <c r="A536" s="47"/>
    </row>
    <row r="537" spans="1:1" ht="15.75" customHeight="1">
      <c r="A537" s="47"/>
    </row>
    <row r="538" spans="1:1" ht="15.75" customHeight="1">
      <c r="A538" s="47"/>
    </row>
    <row r="539" spans="1:1" ht="15.75" customHeight="1">
      <c r="A539" s="47"/>
    </row>
    <row r="540" spans="1:1" ht="15.75" customHeight="1">
      <c r="A540" s="47"/>
    </row>
    <row r="541" spans="1:1" ht="15.75" customHeight="1">
      <c r="A541" s="47"/>
    </row>
    <row r="542" spans="1:1" ht="15.75" customHeight="1">
      <c r="A542" s="47"/>
    </row>
    <row r="543" spans="1:1" ht="15.75" customHeight="1">
      <c r="A543" s="47"/>
    </row>
    <row r="544" spans="1:1" ht="15.75" customHeight="1">
      <c r="A544" s="47"/>
    </row>
    <row r="545" spans="1:1" ht="15.75" customHeight="1">
      <c r="A545" s="47"/>
    </row>
    <row r="546" spans="1:1" ht="15.75" customHeight="1">
      <c r="A546" s="47"/>
    </row>
    <row r="547" spans="1:1" ht="15.75" customHeight="1">
      <c r="A547" s="47"/>
    </row>
    <row r="548" spans="1:1" ht="15.75" customHeight="1">
      <c r="A548" s="47"/>
    </row>
    <row r="549" spans="1:1" ht="15.75" customHeight="1">
      <c r="A549" s="47"/>
    </row>
    <row r="550" spans="1:1" ht="15.75" customHeight="1">
      <c r="A550" s="47"/>
    </row>
    <row r="551" spans="1:1" ht="15.75" customHeight="1">
      <c r="A551" s="47"/>
    </row>
    <row r="552" spans="1:1" ht="15.75" customHeight="1">
      <c r="A552" s="47"/>
    </row>
    <row r="553" spans="1:1" ht="15.75" customHeight="1">
      <c r="A553" s="47"/>
    </row>
    <row r="554" spans="1:1" ht="15.75" customHeight="1">
      <c r="A554" s="47"/>
    </row>
    <row r="555" spans="1:1" ht="15.75" customHeight="1">
      <c r="A555" s="47"/>
    </row>
    <row r="556" spans="1:1" ht="15.75" customHeight="1">
      <c r="A556" s="47"/>
    </row>
    <row r="557" spans="1:1" ht="15.75" customHeight="1">
      <c r="A557" s="47"/>
    </row>
    <row r="558" spans="1:1" ht="15.75" customHeight="1">
      <c r="A558" s="47"/>
    </row>
    <row r="559" spans="1:1" ht="15.75" customHeight="1">
      <c r="A559" s="47"/>
    </row>
    <row r="560" spans="1:1" ht="15.75" customHeight="1">
      <c r="A560" s="47"/>
    </row>
    <row r="561" spans="1:1" ht="15.75" customHeight="1">
      <c r="A561" s="47"/>
    </row>
    <row r="562" spans="1:1" ht="15.75" customHeight="1">
      <c r="A562" s="47"/>
    </row>
    <row r="563" spans="1:1" ht="15.75" customHeight="1">
      <c r="A563" s="47"/>
    </row>
    <row r="564" spans="1:1" ht="15.75" customHeight="1">
      <c r="A564" s="47"/>
    </row>
    <row r="565" spans="1:1" ht="15.75" customHeight="1">
      <c r="A565" s="47"/>
    </row>
    <row r="566" spans="1:1" ht="15.75" customHeight="1">
      <c r="A566" s="47"/>
    </row>
    <row r="567" spans="1:1" ht="15.75" customHeight="1">
      <c r="A567" s="47"/>
    </row>
    <row r="568" spans="1:1" ht="15.75" customHeight="1">
      <c r="A568" s="47"/>
    </row>
    <row r="569" spans="1:1" ht="15.75" customHeight="1">
      <c r="A569" s="47"/>
    </row>
    <row r="570" spans="1:1" ht="15.75" customHeight="1">
      <c r="A570" s="47"/>
    </row>
    <row r="571" spans="1:1" ht="15.75" customHeight="1">
      <c r="A571" s="47"/>
    </row>
    <row r="572" spans="1:1" ht="15.75" customHeight="1">
      <c r="A572" s="47"/>
    </row>
    <row r="573" spans="1:1" ht="15.75" customHeight="1">
      <c r="A573" s="47"/>
    </row>
    <row r="574" spans="1:1" ht="15.75" customHeight="1">
      <c r="A574" s="47"/>
    </row>
    <row r="575" spans="1:1" ht="15.75" customHeight="1">
      <c r="A575" s="47"/>
    </row>
    <row r="576" spans="1:1" ht="15.75" customHeight="1">
      <c r="A576" s="47"/>
    </row>
    <row r="577" spans="1:1" ht="15.75" customHeight="1">
      <c r="A577" s="47"/>
    </row>
    <row r="578" spans="1:1" ht="15.75" customHeight="1">
      <c r="A578" s="47"/>
    </row>
    <row r="579" spans="1:1" ht="15.75" customHeight="1">
      <c r="A579" s="47"/>
    </row>
    <row r="580" spans="1:1" ht="15.75" customHeight="1">
      <c r="A580" s="47"/>
    </row>
    <row r="581" spans="1:1" ht="15.75" customHeight="1">
      <c r="A581" s="47"/>
    </row>
    <row r="582" spans="1:1" ht="15.75" customHeight="1">
      <c r="A582" s="47"/>
    </row>
    <row r="583" spans="1:1" ht="15.75" customHeight="1">
      <c r="A583" s="47"/>
    </row>
    <row r="584" spans="1:1" ht="15.75" customHeight="1">
      <c r="A584" s="47"/>
    </row>
    <row r="585" spans="1:1" ht="15.75" customHeight="1">
      <c r="A585" s="47"/>
    </row>
    <row r="586" spans="1:1" ht="15.75" customHeight="1">
      <c r="A586" s="47"/>
    </row>
    <row r="587" spans="1:1" ht="15.75" customHeight="1">
      <c r="A587" s="47"/>
    </row>
    <row r="588" spans="1:1" ht="15.75" customHeight="1">
      <c r="A588" s="47"/>
    </row>
    <row r="589" spans="1:1" ht="15.75" customHeight="1">
      <c r="A589" s="47"/>
    </row>
    <row r="590" spans="1:1" ht="15.75" customHeight="1">
      <c r="A590" s="47"/>
    </row>
    <row r="591" spans="1:1" ht="15.75" customHeight="1">
      <c r="A591" s="47"/>
    </row>
    <row r="592" spans="1:1" ht="15.75" customHeight="1">
      <c r="A592" s="47"/>
    </row>
    <row r="593" spans="1:1" ht="15.75" customHeight="1">
      <c r="A593" s="47"/>
    </row>
    <row r="594" spans="1:1" ht="15.75" customHeight="1">
      <c r="A594" s="47"/>
    </row>
    <row r="595" spans="1:1" ht="15.75" customHeight="1">
      <c r="A595" s="47"/>
    </row>
    <row r="596" spans="1:1" ht="15.75" customHeight="1">
      <c r="A596" s="47"/>
    </row>
    <row r="597" spans="1:1" ht="15.75" customHeight="1">
      <c r="A597" s="47"/>
    </row>
    <row r="598" spans="1:1" ht="15.75" customHeight="1">
      <c r="A598" s="47"/>
    </row>
    <row r="599" spans="1:1" ht="15.75" customHeight="1">
      <c r="A599" s="47"/>
    </row>
    <row r="600" spans="1:1" ht="15.75" customHeight="1">
      <c r="A600" s="47"/>
    </row>
    <row r="601" spans="1:1" ht="15.75" customHeight="1">
      <c r="A601" s="47"/>
    </row>
    <row r="602" spans="1:1" ht="15.75" customHeight="1">
      <c r="A602" s="47"/>
    </row>
    <row r="603" spans="1:1" ht="15.75" customHeight="1">
      <c r="A603" s="47"/>
    </row>
    <row r="604" spans="1:1" ht="15.75" customHeight="1">
      <c r="A604" s="47"/>
    </row>
    <row r="605" spans="1:1" ht="15.75" customHeight="1">
      <c r="A605" s="47"/>
    </row>
    <row r="606" spans="1:1" ht="15.75" customHeight="1">
      <c r="A606" s="47"/>
    </row>
    <row r="607" spans="1:1" ht="15.75" customHeight="1">
      <c r="A607" s="47"/>
    </row>
    <row r="608" spans="1:1" ht="15.75" customHeight="1">
      <c r="A608" s="47"/>
    </row>
    <row r="609" spans="1:1" ht="15.75" customHeight="1">
      <c r="A609" s="47"/>
    </row>
    <row r="610" spans="1:1" ht="15.75" customHeight="1">
      <c r="A610" s="47"/>
    </row>
    <row r="611" spans="1:1" ht="15.75" customHeight="1">
      <c r="A611" s="47"/>
    </row>
    <row r="612" spans="1:1" ht="15.75" customHeight="1">
      <c r="A612" s="47"/>
    </row>
    <row r="613" spans="1:1" ht="15.75" customHeight="1">
      <c r="A613" s="47"/>
    </row>
    <row r="614" spans="1:1" ht="15.75" customHeight="1">
      <c r="A614" s="47"/>
    </row>
    <row r="615" spans="1:1" ht="15.75" customHeight="1">
      <c r="A615" s="47"/>
    </row>
    <row r="616" spans="1:1" ht="15.75" customHeight="1">
      <c r="A616" s="47"/>
    </row>
    <row r="617" spans="1:1" ht="15.75" customHeight="1">
      <c r="A617" s="47"/>
    </row>
    <row r="618" spans="1:1" ht="15.75" customHeight="1">
      <c r="A618" s="47"/>
    </row>
    <row r="619" spans="1:1" ht="15.75" customHeight="1">
      <c r="A619" s="47"/>
    </row>
    <row r="620" spans="1:1" ht="15.75" customHeight="1">
      <c r="A620" s="47"/>
    </row>
    <row r="621" spans="1:1" ht="15.75" customHeight="1">
      <c r="A621" s="47"/>
    </row>
    <row r="622" spans="1:1" ht="15.75" customHeight="1">
      <c r="A622" s="47"/>
    </row>
    <row r="623" spans="1:1" ht="15.75" customHeight="1">
      <c r="A623" s="47"/>
    </row>
    <row r="624" spans="1:1" ht="15.75" customHeight="1">
      <c r="A624" s="47"/>
    </row>
    <row r="625" spans="1:1" ht="15.75" customHeight="1">
      <c r="A625" s="47"/>
    </row>
    <row r="626" spans="1:1" ht="15.75" customHeight="1">
      <c r="A626" s="47"/>
    </row>
    <row r="627" spans="1:1" ht="15.75" customHeight="1">
      <c r="A627" s="47"/>
    </row>
    <row r="628" spans="1:1" ht="15.75" customHeight="1">
      <c r="A628" s="47"/>
    </row>
    <row r="629" spans="1:1" ht="15.75" customHeight="1">
      <c r="A629" s="47"/>
    </row>
    <row r="630" spans="1:1" ht="15.75" customHeight="1">
      <c r="A630" s="47"/>
    </row>
    <row r="631" spans="1:1" ht="15.75" customHeight="1">
      <c r="A631" s="47"/>
    </row>
    <row r="632" spans="1:1" ht="15.75" customHeight="1">
      <c r="A632" s="47"/>
    </row>
    <row r="633" spans="1:1" ht="15.75" customHeight="1">
      <c r="A633" s="47"/>
    </row>
    <row r="634" spans="1:1" ht="15.75" customHeight="1">
      <c r="A634" s="47"/>
    </row>
    <row r="635" spans="1:1" ht="15.75" customHeight="1">
      <c r="A635" s="47"/>
    </row>
    <row r="636" spans="1:1" ht="15.75" customHeight="1">
      <c r="A636" s="47"/>
    </row>
    <row r="637" spans="1:1" ht="15.75" customHeight="1">
      <c r="A637" s="47"/>
    </row>
    <row r="638" spans="1:1" ht="15.75" customHeight="1">
      <c r="A638" s="47"/>
    </row>
    <row r="639" spans="1:1" ht="15.75" customHeight="1">
      <c r="A639" s="47"/>
    </row>
    <row r="640" spans="1:1" ht="15.75" customHeight="1">
      <c r="A640" s="47"/>
    </row>
    <row r="641" spans="1:1" ht="15.75" customHeight="1">
      <c r="A641" s="47"/>
    </row>
    <row r="642" spans="1:1" ht="15.75" customHeight="1">
      <c r="A642" s="47"/>
    </row>
    <row r="643" spans="1:1" ht="15.75" customHeight="1">
      <c r="A643" s="47"/>
    </row>
    <row r="644" spans="1:1" ht="15.75" customHeight="1">
      <c r="A644" s="47"/>
    </row>
    <row r="645" spans="1:1" ht="15.75" customHeight="1">
      <c r="A645" s="47"/>
    </row>
    <row r="646" spans="1:1" ht="15.75" customHeight="1">
      <c r="A646" s="47"/>
    </row>
    <row r="647" spans="1:1" ht="15.75" customHeight="1">
      <c r="A647" s="47"/>
    </row>
    <row r="648" spans="1:1" ht="15.75" customHeight="1">
      <c r="A648" s="47"/>
    </row>
    <row r="649" spans="1:1" ht="15.75" customHeight="1">
      <c r="A649" s="47"/>
    </row>
    <row r="650" spans="1:1" ht="15.75" customHeight="1">
      <c r="A650" s="47"/>
    </row>
    <row r="651" spans="1:1" ht="15.75" customHeight="1">
      <c r="A651" s="47"/>
    </row>
    <row r="652" spans="1:1" ht="15.75" customHeight="1">
      <c r="A652" s="47"/>
    </row>
    <row r="653" spans="1:1" ht="15.75" customHeight="1">
      <c r="A653" s="47"/>
    </row>
    <row r="654" spans="1:1" ht="15.75" customHeight="1">
      <c r="A654" s="47"/>
    </row>
    <row r="655" spans="1:1" ht="15.75" customHeight="1">
      <c r="A655" s="47"/>
    </row>
    <row r="656" spans="1:1" ht="15.75" customHeight="1">
      <c r="A656" s="47"/>
    </row>
    <row r="657" spans="1:1" ht="15.75" customHeight="1">
      <c r="A657" s="47"/>
    </row>
    <row r="658" spans="1:1" ht="15.75" customHeight="1">
      <c r="A658" s="47"/>
    </row>
    <row r="659" spans="1:1" ht="15.75" customHeight="1">
      <c r="A659" s="47"/>
    </row>
    <row r="660" spans="1:1" ht="15.75" customHeight="1">
      <c r="A660" s="47"/>
    </row>
    <row r="661" spans="1:1" ht="15.75" customHeight="1">
      <c r="A661" s="47"/>
    </row>
    <row r="662" spans="1:1" ht="15.75" customHeight="1">
      <c r="A662" s="47"/>
    </row>
    <row r="663" spans="1:1" ht="15.75" customHeight="1">
      <c r="A663" s="47"/>
    </row>
    <row r="664" spans="1:1" ht="15.75" customHeight="1">
      <c r="A664" s="47"/>
    </row>
    <row r="665" spans="1:1" ht="15.75" customHeight="1">
      <c r="A665" s="47"/>
    </row>
    <row r="666" spans="1:1" ht="15.75" customHeight="1">
      <c r="A666" s="47"/>
    </row>
    <row r="667" spans="1:1" ht="15.75" customHeight="1">
      <c r="A667" s="47"/>
    </row>
    <row r="668" spans="1:1" ht="15.75" customHeight="1">
      <c r="A668" s="47"/>
    </row>
    <row r="669" spans="1:1" ht="15.75" customHeight="1">
      <c r="A669" s="47"/>
    </row>
    <row r="670" spans="1:1" ht="15.75" customHeight="1">
      <c r="A670" s="47"/>
    </row>
    <row r="671" spans="1:1" ht="15.75" customHeight="1">
      <c r="A671" s="47"/>
    </row>
    <row r="672" spans="1:1" ht="15.75" customHeight="1">
      <c r="A672" s="47"/>
    </row>
    <row r="673" spans="1:1" ht="15.75" customHeight="1">
      <c r="A673" s="47"/>
    </row>
    <row r="674" spans="1:1" ht="15.75" customHeight="1">
      <c r="A674" s="47"/>
    </row>
    <row r="675" spans="1:1" ht="15.75" customHeight="1">
      <c r="A675" s="47"/>
    </row>
    <row r="676" spans="1:1" ht="15.75" customHeight="1">
      <c r="A676" s="47"/>
    </row>
    <row r="677" spans="1:1" ht="15.75" customHeight="1">
      <c r="A677" s="47"/>
    </row>
    <row r="678" spans="1:1" ht="15.75" customHeight="1">
      <c r="A678" s="47"/>
    </row>
    <row r="679" spans="1:1" ht="15.75" customHeight="1">
      <c r="A679" s="47"/>
    </row>
    <row r="680" spans="1:1" ht="15.75" customHeight="1">
      <c r="A680" s="47"/>
    </row>
    <row r="681" spans="1:1" ht="15.75" customHeight="1">
      <c r="A681" s="47"/>
    </row>
    <row r="682" spans="1:1" ht="15.75" customHeight="1">
      <c r="A682" s="47"/>
    </row>
    <row r="683" spans="1:1" ht="15.75" customHeight="1">
      <c r="A683" s="47"/>
    </row>
    <row r="684" spans="1:1" ht="15.75" customHeight="1">
      <c r="A684" s="47"/>
    </row>
    <row r="685" spans="1:1" ht="15.75" customHeight="1">
      <c r="A685" s="47"/>
    </row>
    <row r="686" spans="1:1" ht="15.75" customHeight="1">
      <c r="A686" s="47"/>
    </row>
    <row r="687" spans="1:1" ht="15.75" customHeight="1">
      <c r="A687" s="47"/>
    </row>
    <row r="688" spans="1:1" ht="15.75" customHeight="1">
      <c r="A688" s="47"/>
    </row>
    <row r="689" spans="1:1" ht="15.75" customHeight="1">
      <c r="A689" s="47"/>
    </row>
    <row r="690" spans="1:1" ht="15.75" customHeight="1">
      <c r="A690" s="47"/>
    </row>
    <row r="691" spans="1:1" ht="15.75" customHeight="1">
      <c r="A691" s="47"/>
    </row>
    <row r="692" spans="1:1" ht="15.75" customHeight="1">
      <c r="A692" s="47"/>
    </row>
    <row r="693" spans="1:1" ht="15.75" customHeight="1">
      <c r="A693" s="47"/>
    </row>
    <row r="694" spans="1:1" ht="15.75" customHeight="1">
      <c r="A694" s="47"/>
    </row>
    <row r="695" spans="1:1" ht="15.75" customHeight="1">
      <c r="A695" s="47"/>
    </row>
    <row r="696" spans="1:1" ht="15.75" customHeight="1">
      <c r="A696" s="47"/>
    </row>
    <row r="697" spans="1:1" ht="15.75" customHeight="1">
      <c r="A697" s="47"/>
    </row>
    <row r="698" spans="1:1" ht="15.75" customHeight="1">
      <c r="A698" s="47"/>
    </row>
    <row r="699" spans="1:1" ht="15.75" customHeight="1">
      <c r="A699" s="47"/>
    </row>
    <row r="700" spans="1:1" ht="15.75" customHeight="1">
      <c r="A700" s="47"/>
    </row>
    <row r="701" spans="1:1" ht="15.75" customHeight="1">
      <c r="A701" s="47"/>
    </row>
    <row r="702" spans="1:1" ht="15.75" customHeight="1">
      <c r="A702" s="47"/>
    </row>
    <row r="703" spans="1:1" ht="15.75" customHeight="1">
      <c r="A703" s="47"/>
    </row>
    <row r="704" spans="1:1" ht="15.75" customHeight="1">
      <c r="A704" s="47"/>
    </row>
    <row r="705" spans="1:1" ht="15.75" customHeight="1">
      <c r="A705" s="47"/>
    </row>
    <row r="706" spans="1:1" ht="15.75" customHeight="1">
      <c r="A706" s="47"/>
    </row>
    <row r="707" spans="1:1" ht="15.75" customHeight="1">
      <c r="A707" s="47"/>
    </row>
    <row r="708" spans="1:1" ht="15.75" customHeight="1">
      <c r="A708" s="47"/>
    </row>
    <row r="709" spans="1:1" ht="15.75" customHeight="1">
      <c r="A709" s="47"/>
    </row>
    <row r="710" spans="1:1" ht="15.75" customHeight="1">
      <c r="A710" s="47"/>
    </row>
    <row r="711" spans="1:1" ht="15.75" customHeight="1">
      <c r="A711" s="47"/>
    </row>
    <row r="712" spans="1:1" ht="15.75" customHeight="1">
      <c r="A712" s="47"/>
    </row>
    <row r="713" spans="1:1" ht="15.75" customHeight="1">
      <c r="A713" s="47"/>
    </row>
    <row r="714" spans="1:1" ht="15.75" customHeight="1">
      <c r="A714" s="47"/>
    </row>
    <row r="715" spans="1:1" ht="15.75" customHeight="1">
      <c r="A715" s="47"/>
    </row>
    <row r="716" spans="1:1" ht="15.75" customHeight="1">
      <c r="A716" s="47"/>
    </row>
    <row r="717" spans="1:1" ht="15.75" customHeight="1">
      <c r="A717" s="47"/>
    </row>
    <row r="718" spans="1:1" ht="15.75" customHeight="1">
      <c r="A718" s="47"/>
    </row>
    <row r="719" spans="1:1" ht="15.75" customHeight="1">
      <c r="A719" s="47"/>
    </row>
    <row r="720" spans="1:1" ht="15.75" customHeight="1">
      <c r="A720" s="47"/>
    </row>
    <row r="721" spans="1:1" ht="15.75" customHeight="1">
      <c r="A721" s="47"/>
    </row>
    <row r="722" spans="1:1" ht="15.75" customHeight="1">
      <c r="A722" s="47"/>
    </row>
    <row r="723" spans="1:1" ht="15.75" customHeight="1">
      <c r="A723" s="47"/>
    </row>
    <row r="724" spans="1:1" ht="15.75" customHeight="1">
      <c r="A724" s="47"/>
    </row>
    <row r="725" spans="1:1" ht="15.75" customHeight="1">
      <c r="A725" s="47"/>
    </row>
    <row r="726" spans="1:1" ht="15.75" customHeight="1">
      <c r="A726" s="47"/>
    </row>
    <row r="727" spans="1:1" ht="15.75" customHeight="1">
      <c r="A727" s="47"/>
    </row>
    <row r="728" spans="1:1" ht="15.75" customHeight="1">
      <c r="A728" s="47"/>
    </row>
    <row r="729" spans="1:1" ht="15.75" customHeight="1">
      <c r="A729" s="47"/>
    </row>
    <row r="730" spans="1:1" ht="15.75" customHeight="1">
      <c r="A730" s="47"/>
    </row>
    <row r="731" spans="1:1" ht="15.75" customHeight="1">
      <c r="A731" s="47"/>
    </row>
    <row r="732" spans="1:1" ht="15.75" customHeight="1">
      <c r="A732" s="47"/>
    </row>
    <row r="733" spans="1:1" ht="15.75" customHeight="1">
      <c r="A733" s="47"/>
    </row>
    <row r="734" spans="1:1" ht="15.75" customHeight="1">
      <c r="A734" s="47"/>
    </row>
    <row r="735" spans="1:1" ht="15.75" customHeight="1">
      <c r="A735" s="47"/>
    </row>
    <row r="736" spans="1:1" ht="15.75" customHeight="1">
      <c r="A736" s="47"/>
    </row>
    <row r="737" spans="1:1" ht="15.75" customHeight="1">
      <c r="A737" s="47"/>
    </row>
    <row r="738" spans="1:1" ht="15.75" customHeight="1">
      <c r="A738" s="47"/>
    </row>
    <row r="739" spans="1:1" ht="15.75" customHeight="1">
      <c r="A739" s="47"/>
    </row>
    <row r="740" spans="1:1" ht="15.75" customHeight="1">
      <c r="A740" s="47"/>
    </row>
    <row r="741" spans="1:1" ht="15.75" customHeight="1">
      <c r="A741" s="47"/>
    </row>
    <row r="742" spans="1:1" ht="15.75" customHeight="1">
      <c r="A742" s="47"/>
    </row>
    <row r="743" spans="1:1" ht="15.75" customHeight="1">
      <c r="A743" s="47"/>
    </row>
    <row r="744" spans="1:1" ht="15.75" customHeight="1">
      <c r="A744" s="47"/>
    </row>
    <row r="745" spans="1:1" ht="15.75" customHeight="1">
      <c r="A745" s="47"/>
    </row>
    <row r="746" spans="1:1" ht="15.75" customHeight="1">
      <c r="A746" s="47"/>
    </row>
    <row r="747" spans="1:1" ht="15.75" customHeight="1">
      <c r="A747" s="47"/>
    </row>
    <row r="748" spans="1:1" ht="15.75" customHeight="1">
      <c r="A748" s="47"/>
    </row>
    <row r="749" spans="1:1" ht="15.75" customHeight="1">
      <c r="A749" s="47"/>
    </row>
    <row r="750" spans="1:1" ht="15.75" customHeight="1">
      <c r="A750" s="47"/>
    </row>
    <row r="751" spans="1:1" ht="15.75" customHeight="1">
      <c r="A751" s="47"/>
    </row>
    <row r="752" spans="1:1" ht="15.75" customHeight="1">
      <c r="A752" s="47"/>
    </row>
    <row r="753" spans="1:1" ht="15.75" customHeight="1">
      <c r="A753" s="47"/>
    </row>
    <row r="754" spans="1:1" ht="15.75" customHeight="1">
      <c r="A754" s="47"/>
    </row>
    <row r="755" spans="1:1" ht="15.75" customHeight="1">
      <c r="A755" s="47"/>
    </row>
    <row r="756" spans="1:1" ht="15.75" customHeight="1">
      <c r="A756" s="47"/>
    </row>
    <row r="757" spans="1:1" ht="15.75" customHeight="1">
      <c r="A757" s="47"/>
    </row>
    <row r="758" spans="1:1" ht="15.75" customHeight="1">
      <c r="A758" s="47"/>
    </row>
    <row r="759" spans="1:1" ht="15.75" customHeight="1">
      <c r="A759" s="47"/>
    </row>
    <row r="760" spans="1:1" ht="15.75" customHeight="1">
      <c r="A760" s="47"/>
    </row>
    <row r="761" spans="1:1" ht="15.75" customHeight="1">
      <c r="A761" s="47"/>
    </row>
    <row r="762" spans="1:1" ht="15.75" customHeight="1">
      <c r="A762" s="47"/>
    </row>
    <row r="763" spans="1:1" ht="15.75" customHeight="1">
      <c r="A763" s="47"/>
    </row>
    <row r="764" spans="1:1" ht="15.75" customHeight="1">
      <c r="A764" s="47"/>
    </row>
    <row r="765" spans="1:1" ht="15.75" customHeight="1">
      <c r="A765" s="47"/>
    </row>
    <row r="766" spans="1:1" ht="15.75" customHeight="1">
      <c r="A766" s="47"/>
    </row>
    <row r="767" spans="1:1" ht="15.75" customHeight="1">
      <c r="A767" s="47"/>
    </row>
    <row r="768" spans="1:1" ht="15.75" customHeight="1">
      <c r="A768" s="47"/>
    </row>
    <row r="769" spans="1:1" ht="15.75" customHeight="1">
      <c r="A769" s="47"/>
    </row>
    <row r="770" spans="1:1" ht="15.75" customHeight="1">
      <c r="A770" s="47"/>
    </row>
    <row r="771" spans="1:1" ht="15.75" customHeight="1">
      <c r="A771" s="47"/>
    </row>
    <row r="772" spans="1:1" ht="15.75" customHeight="1">
      <c r="A772" s="47"/>
    </row>
    <row r="773" spans="1:1" ht="15.75" customHeight="1">
      <c r="A773" s="47"/>
    </row>
    <row r="774" spans="1:1" ht="15.75" customHeight="1">
      <c r="A774" s="47"/>
    </row>
    <row r="775" spans="1:1" ht="15.75" customHeight="1">
      <c r="A775" s="47"/>
    </row>
    <row r="776" spans="1:1" ht="15.75" customHeight="1">
      <c r="A776" s="47"/>
    </row>
    <row r="777" spans="1:1" ht="15.75" customHeight="1">
      <c r="A777" s="47"/>
    </row>
    <row r="778" spans="1:1" ht="15.75" customHeight="1">
      <c r="A778" s="47"/>
    </row>
    <row r="779" spans="1:1" ht="15.75" customHeight="1">
      <c r="A779" s="47"/>
    </row>
    <row r="780" spans="1:1" ht="15.75" customHeight="1">
      <c r="A780" s="47"/>
    </row>
    <row r="781" spans="1:1" ht="15.75" customHeight="1">
      <c r="A781" s="47"/>
    </row>
    <row r="782" spans="1:1" ht="15.75" customHeight="1">
      <c r="A782" s="47"/>
    </row>
    <row r="783" spans="1:1" ht="15.75" customHeight="1">
      <c r="A783" s="47"/>
    </row>
    <row r="784" spans="1:1" ht="15.75" customHeight="1">
      <c r="A784" s="47"/>
    </row>
    <row r="785" spans="1:1" ht="15.75" customHeight="1">
      <c r="A785" s="47"/>
    </row>
    <row r="786" spans="1:1" ht="15.75" customHeight="1">
      <c r="A786" s="47"/>
    </row>
    <row r="787" spans="1:1" ht="15.75" customHeight="1">
      <c r="A787" s="47"/>
    </row>
    <row r="788" spans="1:1" ht="15.75" customHeight="1">
      <c r="A788" s="47"/>
    </row>
    <row r="789" spans="1:1" ht="15.75" customHeight="1">
      <c r="A789" s="47"/>
    </row>
    <row r="790" spans="1:1" ht="15.75" customHeight="1">
      <c r="A790" s="47"/>
    </row>
    <row r="791" spans="1:1" ht="15.75" customHeight="1">
      <c r="A791" s="47"/>
    </row>
    <row r="792" spans="1:1" ht="15.75" customHeight="1">
      <c r="A792" s="47"/>
    </row>
    <row r="793" spans="1:1" ht="15.75" customHeight="1">
      <c r="A793" s="47"/>
    </row>
    <row r="794" spans="1:1" ht="15.75" customHeight="1">
      <c r="A794" s="47"/>
    </row>
    <row r="795" spans="1:1" ht="15.75" customHeight="1">
      <c r="A795" s="47"/>
    </row>
    <row r="796" spans="1:1" ht="15.75" customHeight="1">
      <c r="A796" s="47"/>
    </row>
    <row r="797" spans="1:1" ht="15.75" customHeight="1">
      <c r="A797" s="47"/>
    </row>
    <row r="798" spans="1:1" ht="15.75" customHeight="1">
      <c r="A798" s="47"/>
    </row>
    <row r="799" spans="1:1" ht="15.75" customHeight="1">
      <c r="A799" s="47"/>
    </row>
    <row r="800" spans="1:1" ht="15.75" customHeight="1">
      <c r="A800" s="47"/>
    </row>
    <row r="801" spans="1:1" ht="15.75" customHeight="1">
      <c r="A801" s="47"/>
    </row>
    <row r="802" spans="1:1" ht="15.75" customHeight="1">
      <c r="A802" s="47"/>
    </row>
    <row r="803" spans="1:1" ht="15.75" customHeight="1">
      <c r="A803" s="47"/>
    </row>
    <row r="804" spans="1:1" ht="15.75" customHeight="1">
      <c r="A804" s="47"/>
    </row>
    <row r="805" spans="1:1" ht="15.75" customHeight="1">
      <c r="A805" s="47"/>
    </row>
    <row r="806" spans="1:1" ht="15.75" customHeight="1">
      <c r="A806" s="47"/>
    </row>
    <row r="807" spans="1:1" ht="15.75" customHeight="1">
      <c r="A807" s="47"/>
    </row>
    <row r="808" spans="1:1" ht="15.75" customHeight="1">
      <c r="A808" s="47"/>
    </row>
    <row r="809" spans="1:1" ht="15.75" customHeight="1">
      <c r="A809" s="47"/>
    </row>
    <row r="810" spans="1:1" ht="15.75" customHeight="1">
      <c r="A810" s="47"/>
    </row>
    <row r="811" spans="1:1" ht="15.75" customHeight="1">
      <c r="A811" s="47"/>
    </row>
    <row r="812" spans="1:1" ht="15.75" customHeight="1">
      <c r="A812" s="47"/>
    </row>
    <row r="813" spans="1:1" ht="15.75" customHeight="1">
      <c r="A813" s="47"/>
    </row>
    <row r="814" spans="1:1" ht="15.75" customHeight="1">
      <c r="A814" s="47"/>
    </row>
    <row r="815" spans="1:1" ht="15.75" customHeight="1">
      <c r="A815" s="47"/>
    </row>
    <row r="816" spans="1:1" ht="15.75" customHeight="1">
      <c r="A816" s="47"/>
    </row>
    <row r="817" spans="1:1" ht="15.75" customHeight="1">
      <c r="A817" s="47"/>
    </row>
    <row r="818" spans="1:1" ht="15.75" customHeight="1">
      <c r="A818" s="47"/>
    </row>
    <row r="819" spans="1:1" ht="15.75" customHeight="1">
      <c r="A819" s="47"/>
    </row>
    <row r="820" spans="1:1" ht="15.75" customHeight="1">
      <c r="A820" s="47"/>
    </row>
    <row r="821" spans="1:1" ht="15.75" customHeight="1">
      <c r="A821" s="47"/>
    </row>
    <row r="822" spans="1:1" ht="15.75" customHeight="1">
      <c r="A822" s="47"/>
    </row>
    <row r="823" spans="1:1" ht="15.75" customHeight="1">
      <c r="A823" s="47"/>
    </row>
    <row r="824" spans="1:1" ht="15.75" customHeight="1">
      <c r="A824" s="47"/>
    </row>
    <row r="825" spans="1:1" ht="15.75" customHeight="1">
      <c r="A825" s="47"/>
    </row>
    <row r="826" spans="1:1" ht="15.75" customHeight="1">
      <c r="A826" s="47"/>
    </row>
    <row r="827" spans="1:1" ht="15.75" customHeight="1">
      <c r="A827" s="47"/>
    </row>
    <row r="828" spans="1:1" ht="15.75" customHeight="1">
      <c r="A828" s="47"/>
    </row>
    <row r="829" spans="1:1" ht="15.75" customHeight="1">
      <c r="A829" s="47"/>
    </row>
    <row r="830" spans="1:1" ht="15.75" customHeight="1">
      <c r="A830" s="47"/>
    </row>
    <row r="831" spans="1:1" ht="15.75" customHeight="1">
      <c r="A831" s="47"/>
    </row>
    <row r="832" spans="1:1" ht="15.75" customHeight="1">
      <c r="A832" s="47"/>
    </row>
    <row r="833" spans="1:1" ht="15.75" customHeight="1">
      <c r="A833" s="47"/>
    </row>
    <row r="834" spans="1:1" ht="15.75" customHeight="1">
      <c r="A834" s="47"/>
    </row>
    <row r="835" spans="1:1" ht="15.75" customHeight="1">
      <c r="A835" s="47"/>
    </row>
    <row r="836" spans="1:1" ht="15.75" customHeight="1">
      <c r="A836" s="47"/>
    </row>
    <row r="837" spans="1:1" ht="15.75" customHeight="1">
      <c r="A837" s="47"/>
    </row>
    <row r="838" spans="1:1" ht="15.75" customHeight="1">
      <c r="A838" s="47"/>
    </row>
    <row r="839" spans="1:1" ht="15.75" customHeight="1">
      <c r="A839" s="47"/>
    </row>
    <row r="840" spans="1:1" ht="15.75" customHeight="1">
      <c r="A840" s="47"/>
    </row>
    <row r="841" spans="1:1" ht="15.75" customHeight="1">
      <c r="A841" s="47"/>
    </row>
    <row r="842" spans="1:1" ht="15.75" customHeight="1">
      <c r="A842" s="47"/>
    </row>
    <row r="843" spans="1:1" ht="15.75" customHeight="1">
      <c r="A843" s="47"/>
    </row>
    <row r="844" spans="1:1" ht="15.75" customHeight="1">
      <c r="A844" s="47"/>
    </row>
    <row r="845" spans="1:1" ht="15.75" customHeight="1">
      <c r="A845" s="47"/>
    </row>
    <row r="846" spans="1:1" ht="15.75" customHeight="1">
      <c r="A846" s="47"/>
    </row>
    <row r="847" spans="1:1" ht="15.75" customHeight="1">
      <c r="A847" s="47"/>
    </row>
    <row r="848" spans="1:1" ht="15.75" customHeight="1">
      <c r="A848" s="47"/>
    </row>
    <row r="849" spans="1:1" ht="15.75" customHeight="1">
      <c r="A849" s="47"/>
    </row>
    <row r="850" spans="1:1" ht="15.75" customHeight="1">
      <c r="A850" s="47"/>
    </row>
    <row r="851" spans="1:1" ht="15.75" customHeight="1">
      <c r="A851" s="47"/>
    </row>
    <row r="852" spans="1:1" ht="15.75" customHeight="1">
      <c r="A852" s="47"/>
    </row>
    <row r="853" spans="1:1" ht="15.75" customHeight="1">
      <c r="A853" s="47"/>
    </row>
    <row r="854" spans="1:1" ht="15.75" customHeight="1">
      <c r="A854" s="47"/>
    </row>
    <row r="855" spans="1:1" ht="15.75" customHeight="1">
      <c r="A855" s="47"/>
    </row>
    <row r="856" spans="1:1" ht="15.75" customHeight="1">
      <c r="A856" s="47"/>
    </row>
    <row r="857" spans="1:1" ht="15.75" customHeight="1">
      <c r="A857" s="47"/>
    </row>
    <row r="858" spans="1:1" ht="15.75" customHeight="1">
      <c r="A858" s="47"/>
    </row>
    <row r="859" spans="1:1" ht="15.75" customHeight="1">
      <c r="A859" s="47"/>
    </row>
    <row r="860" spans="1:1" ht="15.75" customHeight="1">
      <c r="A860" s="47"/>
    </row>
    <row r="861" spans="1:1" ht="15.75" customHeight="1">
      <c r="A861" s="47"/>
    </row>
    <row r="862" spans="1:1" ht="15.75" customHeight="1">
      <c r="A862" s="47"/>
    </row>
    <row r="863" spans="1:1" ht="15.75" customHeight="1">
      <c r="A863" s="47"/>
    </row>
    <row r="864" spans="1:1" ht="15.75" customHeight="1">
      <c r="A864" s="47"/>
    </row>
    <row r="865" spans="1:1" ht="15.75" customHeight="1">
      <c r="A865" s="47"/>
    </row>
    <row r="866" spans="1:1" ht="15.75" customHeight="1">
      <c r="A866" s="47"/>
    </row>
    <row r="867" spans="1:1" ht="15.75" customHeight="1">
      <c r="A867" s="47"/>
    </row>
    <row r="868" spans="1:1" ht="15.75" customHeight="1">
      <c r="A868" s="47"/>
    </row>
    <row r="869" spans="1:1" ht="15.75" customHeight="1">
      <c r="A869" s="47"/>
    </row>
    <row r="870" spans="1:1" ht="15.75" customHeight="1">
      <c r="A870" s="47"/>
    </row>
    <row r="871" spans="1:1" ht="15.75" customHeight="1">
      <c r="A871" s="47"/>
    </row>
    <row r="872" spans="1:1" ht="15.75" customHeight="1">
      <c r="A872" s="47"/>
    </row>
    <row r="873" spans="1:1" ht="15.75" customHeight="1">
      <c r="A873" s="47"/>
    </row>
    <row r="874" spans="1:1" ht="15.75" customHeight="1">
      <c r="A874" s="47"/>
    </row>
    <row r="875" spans="1:1" ht="15.75" customHeight="1">
      <c r="A875" s="47"/>
    </row>
    <row r="876" spans="1:1" ht="15.75" customHeight="1">
      <c r="A876" s="47"/>
    </row>
    <row r="877" spans="1:1" ht="15.75" customHeight="1">
      <c r="A877" s="47"/>
    </row>
    <row r="878" spans="1:1" ht="15.75" customHeight="1">
      <c r="A878" s="47"/>
    </row>
    <row r="879" spans="1:1" ht="15.75" customHeight="1">
      <c r="A879" s="47"/>
    </row>
    <row r="880" spans="1:1" ht="15.75" customHeight="1">
      <c r="A880" s="47"/>
    </row>
    <row r="881" spans="1:1" ht="15.75" customHeight="1">
      <c r="A881" s="47"/>
    </row>
    <row r="882" spans="1:1" ht="15.75" customHeight="1">
      <c r="A882" s="47"/>
    </row>
    <row r="883" spans="1:1" ht="15.75" customHeight="1">
      <c r="A883" s="47"/>
    </row>
    <row r="884" spans="1:1" ht="15.75" customHeight="1">
      <c r="A884" s="47"/>
    </row>
    <row r="885" spans="1:1" ht="15.75" customHeight="1">
      <c r="A885" s="47"/>
    </row>
    <row r="886" spans="1:1" ht="15.75" customHeight="1">
      <c r="A886" s="47"/>
    </row>
    <row r="887" spans="1:1" ht="15.75" customHeight="1">
      <c r="A887" s="47"/>
    </row>
    <row r="888" spans="1:1" ht="15.75" customHeight="1">
      <c r="A888" s="47"/>
    </row>
    <row r="889" spans="1:1" ht="15.75" customHeight="1">
      <c r="A889" s="47"/>
    </row>
    <row r="890" spans="1:1" ht="15.75" customHeight="1">
      <c r="A890" s="47"/>
    </row>
    <row r="891" spans="1:1" ht="15.75" customHeight="1">
      <c r="A891" s="47"/>
    </row>
    <row r="892" spans="1:1" ht="15.75" customHeight="1">
      <c r="A892" s="47"/>
    </row>
    <row r="893" spans="1:1" ht="15.75" customHeight="1">
      <c r="A893" s="47"/>
    </row>
    <row r="894" spans="1:1" ht="15.75" customHeight="1">
      <c r="A894" s="47"/>
    </row>
    <row r="895" spans="1:1" ht="15.75" customHeight="1">
      <c r="A895" s="47"/>
    </row>
    <row r="896" spans="1:1" ht="15.75" customHeight="1">
      <c r="A896" s="47"/>
    </row>
    <row r="897" spans="1:1" ht="15.75" customHeight="1">
      <c r="A897" s="47"/>
    </row>
    <row r="898" spans="1:1" ht="15.75" customHeight="1">
      <c r="A898" s="47"/>
    </row>
    <row r="899" spans="1:1" ht="15.75" customHeight="1">
      <c r="A899" s="47"/>
    </row>
    <row r="900" spans="1:1" ht="15.75" customHeight="1">
      <c r="A900" s="47"/>
    </row>
    <row r="901" spans="1:1" ht="15.75" customHeight="1">
      <c r="A901" s="47"/>
    </row>
    <row r="902" spans="1:1" ht="15.75" customHeight="1">
      <c r="A902" s="47"/>
    </row>
    <row r="903" spans="1:1" ht="15.75" customHeight="1">
      <c r="A903" s="47"/>
    </row>
    <row r="904" spans="1:1" ht="15.75" customHeight="1">
      <c r="A904" s="47"/>
    </row>
    <row r="905" spans="1:1" ht="15.75" customHeight="1">
      <c r="A905" s="47"/>
    </row>
    <row r="906" spans="1:1" ht="15.75" customHeight="1">
      <c r="A906" s="47"/>
    </row>
    <row r="907" spans="1:1" ht="15.75" customHeight="1">
      <c r="A907" s="47"/>
    </row>
    <row r="908" spans="1:1" ht="15.75" customHeight="1">
      <c r="A908" s="47"/>
    </row>
    <row r="909" spans="1:1" ht="15.75" customHeight="1">
      <c r="A909" s="47"/>
    </row>
    <row r="910" spans="1:1" ht="15.75" customHeight="1">
      <c r="A910" s="47"/>
    </row>
    <row r="911" spans="1:1" ht="15.75" customHeight="1">
      <c r="A911" s="47"/>
    </row>
    <row r="912" spans="1:1" ht="15.75" customHeight="1">
      <c r="A912" s="47"/>
    </row>
    <row r="913" spans="1:1" ht="15.75" customHeight="1">
      <c r="A913" s="47"/>
    </row>
    <row r="914" spans="1:1" ht="15.75" customHeight="1">
      <c r="A914" s="47"/>
    </row>
    <row r="915" spans="1:1" ht="15.75" customHeight="1">
      <c r="A915" s="47"/>
    </row>
    <row r="916" spans="1:1" ht="15.75" customHeight="1">
      <c r="A916" s="47"/>
    </row>
    <row r="917" spans="1:1" ht="15.75" customHeight="1">
      <c r="A917" s="47"/>
    </row>
    <row r="918" spans="1:1" ht="15.75" customHeight="1">
      <c r="A918" s="47"/>
    </row>
    <row r="919" spans="1:1" ht="15.75" customHeight="1">
      <c r="A919" s="47"/>
    </row>
    <row r="920" spans="1:1" ht="15.75" customHeight="1">
      <c r="A920" s="47"/>
    </row>
    <row r="921" spans="1:1" ht="15.75" customHeight="1">
      <c r="A921" s="47"/>
    </row>
    <row r="922" spans="1:1" ht="15.75" customHeight="1">
      <c r="A922" s="47"/>
    </row>
    <row r="923" spans="1:1" ht="15.75" customHeight="1">
      <c r="A923" s="47"/>
    </row>
    <row r="924" spans="1:1" ht="15.75" customHeight="1">
      <c r="A924" s="47"/>
    </row>
    <row r="925" spans="1:1" ht="15.75" customHeight="1">
      <c r="A925" s="47"/>
    </row>
    <row r="926" spans="1:1" ht="15.75" customHeight="1">
      <c r="A926" s="47"/>
    </row>
    <row r="927" spans="1:1" ht="15.75" customHeight="1">
      <c r="A927" s="47"/>
    </row>
    <row r="928" spans="1:1" ht="15.75" customHeight="1">
      <c r="A928" s="47"/>
    </row>
    <row r="929" spans="1:1" ht="15.75" customHeight="1">
      <c r="A929" s="47"/>
    </row>
    <row r="930" spans="1:1" ht="15.75" customHeight="1">
      <c r="A930" s="47"/>
    </row>
    <row r="931" spans="1:1" ht="15.75" customHeight="1">
      <c r="A931" s="47"/>
    </row>
    <row r="932" spans="1:1" ht="15.75" customHeight="1">
      <c r="A932" s="47"/>
    </row>
    <row r="933" spans="1:1" ht="15.75" customHeight="1">
      <c r="A933" s="47"/>
    </row>
    <row r="934" spans="1:1" ht="15.75" customHeight="1">
      <c r="A934" s="47"/>
    </row>
    <row r="935" spans="1:1" ht="15.75" customHeight="1">
      <c r="A935" s="47"/>
    </row>
    <row r="936" spans="1:1" ht="15.75" customHeight="1">
      <c r="A936" s="47"/>
    </row>
    <row r="937" spans="1:1" ht="15.75" customHeight="1">
      <c r="A937" s="47"/>
    </row>
    <row r="938" spans="1:1" ht="15.75" customHeight="1">
      <c r="A938" s="47"/>
    </row>
    <row r="939" spans="1:1" ht="15.75" customHeight="1">
      <c r="A939" s="47"/>
    </row>
    <row r="940" spans="1:1" ht="15.75" customHeight="1">
      <c r="A940" s="47"/>
    </row>
    <row r="941" spans="1:1" ht="15.75" customHeight="1">
      <c r="A941" s="47"/>
    </row>
    <row r="942" spans="1:1" ht="15.75" customHeight="1">
      <c r="A942" s="47"/>
    </row>
    <row r="943" spans="1:1" ht="15.75" customHeight="1">
      <c r="A943" s="47"/>
    </row>
    <row r="944" spans="1:1" ht="15.75" customHeight="1">
      <c r="A944" s="47"/>
    </row>
    <row r="945" spans="1:1" ht="15.75" customHeight="1">
      <c r="A945" s="47"/>
    </row>
    <row r="946" spans="1:1" ht="15.75" customHeight="1">
      <c r="A946" s="47"/>
    </row>
    <row r="947" spans="1:1" ht="15.75" customHeight="1">
      <c r="A947" s="47"/>
    </row>
    <row r="948" spans="1:1" ht="15.75" customHeight="1">
      <c r="A948" s="47"/>
    </row>
    <row r="949" spans="1:1" ht="15.75" customHeight="1">
      <c r="A949" s="47"/>
    </row>
    <row r="950" spans="1:1" ht="15.75" customHeight="1">
      <c r="A950" s="47"/>
    </row>
    <row r="951" spans="1:1" ht="15.75" customHeight="1">
      <c r="A951" s="47"/>
    </row>
    <row r="952" spans="1:1" ht="15.75" customHeight="1">
      <c r="A952" s="47"/>
    </row>
    <row r="953" spans="1:1" ht="15.75" customHeight="1">
      <c r="A953" s="47"/>
    </row>
    <row r="954" spans="1:1" ht="15.75" customHeight="1">
      <c r="A954" s="47"/>
    </row>
    <row r="955" spans="1:1" ht="15.75" customHeight="1">
      <c r="A955" s="47"/>
    </row>
    <row r="956" spans="1:1" ht="15.75" customHeight="1">
      <c r="A956" s="47"/>
    </row>
    <row r="957" spans="1:1" ht="15.75" customHeight="1">
      <c r="A957" s="47"/>
    </row>
    <row r="958" spans="1:1" ht="15.75" customHeight="1">
      <c r="A958" s="47"/>
    </row>
    <row r="959" spans="1:1" ht="15.75" customHeight="1">
      <c r="A959" s="47"/>
    </row>
    <row r="960" spans="1:1" ht="15.75" customHeight="1">
      <c r="A960" s="47"/>
    </row>
    <row r="961" spans="1:1" ht="15.75" customHeight="1">
      <c r="A961" s="47"/>
    </row>
    <row r="962" spans="1:1" ht="15.75" customHeight="1">
      <c r="A962" s="47"/>
    </row>
    <row r="963" spans="1:1" ht="15.75" customHeight="1">
      <c r="A963" s="47"/>
    </row>
    <row r="964" spans="1:1" ht="15.75" customHeight="1">
      <c r="A964" s="47"/>
    </row>
    <row r="965" spans="1:1" ht="15.75" customHeight="1">
      <c r="A965" s="47"/>
    </row>
    <row r="966" spans="1:1" ht="15.75" customHeight="1">
      <c r="A966" s="47"/>
    </row>
    <row r="967" spans="1:1" ht="15.75" customHeight="1">
      <c r="A967" s="47"/>
    </row>
    <row r="968" spans="1:1" ht="15.75" customHeight="1">
      <c r="A968" s="47"/>
    </row>
    <row r="969" spans="1:1" ht="15.75" customHeight="1">
      <c r="A969" s="47"/>
    </row>
    <row r="970" spans="1:1" ht="15.75" customHeight="1">
      <c r="A970" s="47"/>
    </row>
    <row r="971" spans="1:1" ht="15.75" customHeight="1">
      <c r="A971" s="47"/>
    </row>
    <row r="972" spans="1:1" ht="15.75" customHeight="1">
      <c r="A972" s="47"/>
    </row>
    <row r="973" spans="1:1" ht="15.75" customHeight="1">
      <c r="A973" s="47"/>
    </row>
    <row r="974" spans="1:1" ht="15.75" customHeight="1">
      <c r="A974" s="47"/>
    </row>
    <row r="975" spans="1:1" ht="15.75" customHeight="1">
      <c r="A975" s="47"/>
    </row>
    <row r="976" spans="1:1" ht="15.75" customHeight="1">
      <c r="A976" s="47"/>
    </row>
    <row r="977" spans="1:1" ht="15.75" customHeight="1">
      <c r="A977" s="47"/>
    </row>
    <row r="978" spans="1:1" ht="15.75" customHeight="1">
      <c r="A978" s="47"/>
    </row>
    <row r="979" spans="1:1" ht="15.75" customHeight="1">
      <c r="A979" s="47"/>
    </row>
    <row r="980" spans="1:1" ht="15.75" customHeight="1">
      <c r="A980" s="47"/>
    </row>
    <row r="981" spans="1:1" ht="15.75" customHeight="1">
      <c r="A981" s="47"/>
    </row>
    <row r="982" spans="1:1" ht="15.75" customHeight="1">
      <c r="A982" s="47"/>
    </row>
    <row r="983" spans="1:1" ht="15.75" customHeight="1">
      <c r="A983" s="47"/>
    </row>
    <row r="984" spans="1:1" ht="15.75" customHeight="1">
      <c r="A984" s="47"/>
    </row>
    <row r="985" spans="1:1" ht="15.75" customHeight="1">
      <c r="A985" s="47"/>
    </row>
    <row r="986" spans="1:1" ht="15.75" customHeight="1">
      <c r="A986" s="47"/>
    </row>
    <row r="987" spans="1:1" ht="15.75" customHeight="1">
      <c r="A987" s="47"/>
    </row>
    <row r="988" spans="1:1" ht="15.75" customHeight="1">
      <c r="A988" s="47"/>
    </row>
    <row r="989" spans="1:1" ht="15.75" customHeight="1">
      <c r="A989" s="47"/>
    </row>
    <row r="990" spans="1:1" ht="15.75" customHeight="1">
      <c r="A990" s="47"/>
    </row>
    <row r="991" spans="1:1" ht="15.75" customHeight="1">
      <c r="A991" s="47"/>
    </row>
    <row r="992" spans="1:1" ht="15.75" customHeight="1">
      <c r="A992" s="47"/>
    </row>
    <row r="993" spans="1:1" ht="15.75" customHeight="1">
      <c r="A993" s="47"/>
    </row>
    <row r="994" spans="1:1" ht="15.75" customHeight="1">
      <c r="A994" s="47"/>
    </row>
    <row r="995" spans="1:1" ht="15.75" customHeight="1">
      <c r="A995" s="47"/>
    </row>
    <row r="996" spans="1:1" ht="15.75" customHeight="1">
      <c r="A996" s="47"/>
    </row>
    <row r="997" spans="1:1" ht="15.75" customHeight="1">
      <c r="A997" s="47"/>
    </row>
    <row r="998" spans="1:1" ht="15.75" customHeight="1">
      <c r="A998" s="47"/>
    </row>
    <row r="999" spans="1:1" ht="15.75" customHeight="1">
      <c r="A999" s="47"/>
    </row>
    <row r="1000" spans="1:1" ht="15.75" customHeight="1">
      <c r="A1000" s="47"/>
    </row>
  </sheetData>
  <mergeCells count="4">
    <mergeCell ref="D35:E35"/>
    <mergeCell ref="I35:J35"/>
    <mergeCell ref="D36:E36"/>
    <mergeCell ref="I36:J36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9B52-8B71-478B-9B8C-D96E7C65E3F1}">
  <dimension ref="A1:L1000"/>
  <sheetViews>
    <sheetView showGridLines="0" zoomScale="70" zoomScaleNormal="70" workbookViewId="0">
      <selection activeCell="I27" sqref="I27"/>
    </sheetView>
  </sheetViews>
  <sheetFormatPr baseColWidth="10" defaultColWidth="12.625" defaultRowHeight="15" customHeight="1"/>
  <cols>
    <col min="1" max="1" width="7.625" style="37" customWidth="1"/>
    <col min="2" max="2" width="3" style="37" customWidth="1"/>
    <col min="3" max="3" width="9.375" style="37" customWidth="1"/>
    <col min="4" max="6" width="13" style="37" customWidth="1"/>
    <col min="7" max="7" width="30.5" style="37" customWidth="1"/>
    <col min="8" max="8" width="9.125" style="37" customWidth="1"/>
    <col min="9" max="9" width="14.75" style="37" customWidth="1"/>
    <col min="10" max="11" width="15.25" style="37" customWidth="1"/>
    <col min="12" max="26" width="9.375" style="37" customWidth="1"/>
    <col min="27" max="16384" width="12.625" style="37"/>
  </cols>
  <sheetData>
    <row r="1" spans="1:12">
      <c r="A1" s="47"/>
    </row>
    <row r="2" spans="1:12">
      <c r="A2" s="47"/>
    </row>
    <row r="3" spans="1:12">
      <c r="A3" s="47"/>
    </row>
    <row r="4" spans="1:12">
      <c r="A4" s="47"/>
    </row>
    <row r="5" spans="1:12">
      <c r="A5" s="47"/>
    </row>
    <row r="6" spans="1:12">
      <c r="A6" s="47"/>
    </row>
    <row r="7" spans="1:12">
      <c r="A7" s="47"/>
    </row>
    <row r="8" spans="1:12">
      <c r="A8" s="47"/>
      <c r="L8" s="56"/>
    </row>
    <row r="9" spans="1:12" ht="36.75" customHeight="1" thickBot="1">
      <c r="A9" s="47"/>
      <c r="C9" s="46" t="s">
        <v>0</v>
      </c>
      <c r="D9" s="45"/>
      <c r="E9" s="45"/>
      <c r="F9" s="45"/>
      <c r="G9" s="45"/>
      <c r="H9" s="45"/>
      <c r="I9" s="45"/>
      <c r="J9" s="45"/>
      <c r="K9" s="46"/>
    </row>
    <row r="10" spans="1:12" ht="15.75" thickTop="1">
      <c r="A10" s="47"/>
      <c r="C10" s="55"/>
    </row>
    <row r="11" spans="1:12" ht="20.25">
      <c r="A11" s="47"/>
      <c r="G11" s="44" t="s">
        <v>20</v>
      </c>
    </row>
    <row r="12" spans="1:12" ht="7.5" customHeight="1">
      <c r="A12" s="47"/>
    </row>
    <row r="13" spans="1:12" ht="15.75">
      <c r="A13" s="47"/>
      <c r="C13" s="42" t="s">
        <v>2</v>
      </c>
      <c r="D13" s="51" t="s">
        <v>21</v>
      </c>
    </row>
    <row r="14" spans="1:12">
      <c r="A14" s="47"/>
    </row>
    <row r="15" spans="1:12" ht="17.25">
      <c r="A15" s="47"/>
      <c r="C15" s="42" t="s">
        <v>4</v>
      </c>
      <c r="D15" s="53"/>
    </row>
    <row r="16" spans="1:12">
      <c r="A16" s="47"/>
    </row>
    <row r="17" spans="1:11" ht="15.75">
      <c r="A17" s="47"/>
      <c r="C17" s="42" t="s">
        <v>5</v>
      </c>
      <c r="H17" s="42" t="s">
        <v>6</v>
      </c>
    </row>
    <row r="18" spans="1:11">
      <c r="A18" s="47"/>
    </row>
    <row r="19" spans="1:11">
      <c r="A19" s="47"/>
      <c r="D19" s="41" t="s">
        <v>7</v>
      </c>
      <c r="E19" s="41" t="s">
        <v>22</v>
      </c>
      <c r="F19" s="41" t="s">
        <v>23</v>
      </c>
      <c r="G19" s="48"/>
      <c r="H19" s="48"/>
      <c r="I19" s="41" t="s">
        <v>7</v>
      </c>
      <c r="J19" s="41" t="s">
        <v>22</v>
      </c>
      <c r="K19" s="41" t="s">
        <v>23</v>
      </c>
    </row>
    <row r="20" spans="1:11" ht="16.5">
      <c r="A20" s="47"/>
      <c r="D20" s="38">
        <v>3</v>
      </c>
      <c r="E20" s="38">
        <v>7</v>
      </c>
      <c r="F20" s="37">
        <f>POWER(D20,E20)</f>
        <v>2187</v>
      </c>
      <c r="I20" s="38">
        <v>9</v>
      </c>
      <c r="J20" s="38">
        <v>4</v>
      </c>
      <c r="K20" s="52">
        <f>I20^J20</f>
        <v>6561</v>
      </c>
    </row>
    <row r="21" spans="1:11" ht="15.75" customHeight="1">
      <c r="A21" s="47"/>
      <c r="D21" s="38">
        <v>14</v>
      </c>
      <c r="E21" s="38">
        <v>5</v>
      </c>
      <c r="F21" s="37">
        <f>POWER(D21,E21)</f>
        <v>537824</v>
      </c>
      <c r="I21" s="38">
        <v>-13</v>
      </c>
      <c r="J21" s="38">
        <v>6</v>
      </c>
      <c r="K21" s="52">
        <f>I21^J21</f>
        <v>4826809</v>
      </c>
    </row>
    <row r="22" spans="1:11" ht="15.75" customHeight="1">
      <c r="A22" s="47"/>
      <c r="D22" s="38">
        <v>-8.24</v>
      </c>
      <c r="E22" s="38">
        <v>2</v>
      </c>
      <c r="F22" s="37">
        <f>POWER(D22,E22)</f>
        <v>67.897599999999997</v>
      </c>
      <c r="I22" s="38">
        <v>-5.34</v>
      </c>
      <c r="J22" s="38">
        <v>2</v>
      </c>
      <c r="K22" s="52">
        <f>I22^J22</f>
        <v>28.515599999999999</v>
      </c>
    </row>
    <row r="23" spans="1:11" ht="15.75" customHeight="1">
      <c r="A23" s="47"/>
      <c r="D23" s="38">
        <v>-17</v>
      </c>
      <c r="E23" s="38">
        <v>3</v>
      </c>
      <c r="F23" s="37">
        <f>POWER(D23,E23)</f>
        <v>-4913</v>
      </c>
      <c r="I23" s="38">
        <v>99</v>
      </c>
      <c r="J23" s="38">
        <v>3</v>
      </c>
      <c r="K23" s="52">
        <f>I23^J23</f>
        <v>970299</v>
      </c>
    </row>
    <row r="24" spans="1:11" ht="15.75" customHeight="1">
      <c r="A24" s="47"/>
      <c r="D24" s="52"/>
      <c r="I24" s="52"/>
    </row>
    <row r="25" spans="1:11" ht="15.75" customHeight="1">
      <c r="A25" s="47"/>
    </row>
    <row r="26" spans="1:11" ht="15.75" customHeight="1">
      <c r="A26" s="47"/>
    </row>
    <row r="27" spans="1:11" ht="15.75" customHeight="1">
      <c r="A27" s="47"/>
    </row>
    <row r="28" spans="1:11" ht="15.75" customHeight="1">
      <c r="A28" s="47"/>
    </row>
    <row r="29" spans="1:11" ht="15.75" customHeight="1">
      <c r="A29" s="47"/>
      <c r="D29" s="52"/>
      <c r="E29" s="52"/>
    </row>
    <row r="30" spans="1:11" ht="15.75" customHeight="1">
      <c r="A30" s="47"/>
    </row>
    <row r="31" spans="1:11" ht="15.75" customHeight="1">
      <c r="A31" s="47"/>
    </row>
    <row r="32" spans="1:11" ht="15.75" customHeight="1">
      <c r="A32" s="47"/>
    </row>
    <row r="33" spans="1:11" ht="15.75" customHeight="1">
      <c r="A33" s="47"/>
    </row>
    <row r="34" spans="1:11" ht="15.75" customHeight="1">
      <c r="A34" s="47"/>
      <c r="D34" s="63"/>
      <c r="E34" s="59"/>
      <c r="I34" s="63"/>
      <c r="J34" s="59"/>
      <c r="K34" s="57"/>
    </row>
    <row r="35" spans="1:11" ht="15.75" customHeight="1">
      <c r="A35" s="47"/>
      <c r="D35" s="63"/>
      <c r="E35" s="59"/>
      <c r="I35" s="63"/>
      <c r="J35" s="59"/>
      <c r="K35" s="57"/>
    </row>
    <row r="36" spans="1:11" ht="15.75" customHeight="1">
      <c r="A36" s="47"/>
    </row>
    <row r="37" spans="1:11" ht="15.75" customHeight="1">
      <c r="A37" s="47"/>
    </row>
    <row r="38" spans="1:11" ht="15.75" customHeight="1">
      <c r="A38" s="47"/>
    </row>
    <row r="39" spans="1:11" ht="15.75" customHeight="1">
      <c r="A39" s="47"/>
    </row>
    <row r="40" spans="1:11" ht="15.75" customHeight="1">
      <c r="A40" s="47"/>
    </row>
    <row r="41" spans="1:11" ht="15.75" customHeight="1">
      <c r="A41" s="47"/>
    </row>
    <row r="42" spans="1:11" ht="15.75" customHeight="1">
      <c r="A42" s="47"/>
    </row>
    <row r="43" spans="1:11" ht="15.75" customHeight="1">
      <c r="A43" s="47"/>
    </row>
    <row r="44" spans="1:11" ht="15.75" customHeight="1">
      <c r="A44" s="47"/>
    </row>
    <row r="45" spans="1:11" ht="15.75" customHeight="1">
      <c r="A45" s="47"/>
    </row>
    <row r="46" spans="1:11" ht="15.75" customHeight="1">
      <c r="A46" s="47"/>
    </row>
    <row r="47" spans="1:11" ht="15.75" customHeight="1">
      <c r="A47" s="47"/>
    </row>
    <row r="48" spans="1:11" ht="15.75" customHeight="1">
      <c r="A48" s="47"/>
    </row>
    <row r="49" spans="1:1" ht="15.75" customHeight="1">
      <c r="A49" s="47"/>
    </row>
    <row r="50" spans="1:1" ht="15.75" customHeight="1">
      <c r="A50" s="47"/>
    </row>
    <row r="51" spans="1:1" ht="15.75" customHeight="1">
      <c r="A51" s="47"/>
    </row>
    <row r="52" spans="1:1" ht="15.75" customHeight="1">
      <c r="A52" s="47"/>
    </row>
    <row r="53" spans="1:1" ht="15.75" customHeight="1">
      <c r="A53" s="47"/>
    </row>
    <row r="54" spans="1:1" ht="15.75" customHeight="1">
      <c r="A54" s="47"/>
    </row>
    <row r="55" spans="1:1" ht="15.75" customHeight="1">
      <c r="A55" s="47"/>
    </row>
    <row r="56" spans="1:1" ht="15.75" customHeight="1">
      <c r="A56" s="47"/>
    </row>
    <row r="57" spans="1:1" ht="15.75" customHeight="1">
      <c r="A57" s="47"/>
    </row>
    <row r="58" spans="1:1" ht="15.75" customHeight="1">
      <c r="A58" s="47"/>
    </row>
    <row r="59" spans="1:1" ht="15.75" customHeight="1">
      <c r="A59" s="47"/>
    </row>
    <row r="60" spans="1:1" ht="15.75" customHeight="1">
      <c r="A60" s="47"/>
    </row>
    <row r="61" spans="1:1" ht="15.75" customHeight="1">
      <c r="A61" s="47"/>
    </row>
    <row r="62" spans="1:1" ht="15.75" customHeight="1">
      <c r="A62" s="47"/>
    </row>
    <row r="63" spans="1:1" ht="15.75" customHeight="1">
      <c r="A63" s="47"/>
    </row>
    <row r="64" spans="1:1" ht="15.75" customHeight="1">
      <c r="A64" s="47"/>
    </row>
    <row r="65" spans="1:1" ht="15.75" customHeight="1">
      <c r="A65" s="47"/>
    </row>
    <row r="66" spans="1:1" ht="15.75" customHeight="1">
      <c r="A66" s="47"/>
    </row>
    <row r="67" spans="1:1" ht="15.75" customHeight="1">
      <c r="A67" s="47"/>
    </row>
    <row r="68" spans="1:1" ht="15.75" customHeight="1">
      <c r="A68" s="47"/>
    </row>
    <row r="69" spans="1:1" ht="15.75" customHeight="1">
      <c r="A69" s="47"/>
    </row>
    <row r="70" spans="1:1" ht="15.75" customHeight="1">
      <c r="A70" s="47"/>
    </row>
    <row r="71" spans="1:1" ht="15.75" customHeight="1">
      <c r="A71" s="47"/>
    </row>
    <row r="72" spans="1:1" ht="15.75" customHeight="1">
      <c r="A72" s="47"/>
    </row>
    <row r="73" spans="1:1" ht="15.75" customHeight="1">
      <c r="A73" s="47"/>
    </row>
    <row r="74" spans="1:1" ht="15.75" customHeight="1">
      <c r="A74" s="47"/>
    </row>
    <row r="75" spans="1:1" ht="15.75" customHeight="1">
      <c r="A75" s="47"/>
    </row>
    <row r="76" spans="1:1" ht="15.75" customHeight="1">
      <c r="A76" s="47"/>
    </row>
    <row r="77" spans="1:1" ht="15.75" customHeight="1">
      <c r="A77" s="47"/>
    </row>
    <row r="78" spans="1:1" ht="15.75" customHeight="1">
      <c r="A78" s="47"/>
    </row>
    <row r="79" spans="1:1" ht="15.75" customHeight="1">
      <c r="A79" s="47"/>
    </row>
    <row r="80" spans="1:1" ht="15.75" customHeight="1">
      <c r="A80" s="47"/>
    </row>
    <row r="81" spans="1:1" ht="15.75" customHeight="1">
      <c r="A81" s="47"/>
    </row>
    <row r="82" spans="1:1" ht="15.75" customHeight="1">
      <c r="A82" s="47"/>
    </row>
    <row r="83" spans="1:1" ht="15.75" customHeight="1">
      <c r="A83" s="47"/>
    </row>
    <row r="84" spans="1:1" ht="15.75" customHeight="1">
      <c r="A84" s="47"/>
    </row>
    <row r="85" spans="1:1" ht="15.75" customHeight="1">
      <c r="A85" s="47"/>
    </row>
    <row r="86" spans="1:1" ht="15.75" customHeight="1">
      <c r="A86" s="47"/>
    </row>
    <row r="87" spans="1:1" ht="15.75" customHeight="1">
      <c r="A87" s="47"/>
    </row>
    <row r="88" spans="1:1" ht="15.75" customHeight="1">
      <c r="A88" s="47"/>
    </row>
    <row r="89" spans="1:1" ht="15.75" customHeight="1">
      <c r="A89" s="47"/>
    </row>
    <row r="90" spans="1:1" ht="15.75" customHeight="1">
      <c r="A90" s="47"/>
    </row>
    <row r="91" spans="1:1" ht="15.75" customHeight="1">
      <c r="A91" s="47"/>
    </row>
    <row r="92" spans="1:1" ht="15.75" customHeight="1">
      <c r="A92" s="47"/>
    </row>
    <row r="93" spans="1:1" ht="15.75" customHeight="1">
      <c r="A93" s="47"/>
    </row>
    <row r="94" spans="1:1" ht="15.75" customHeight="1">
      <c r="A94" s="47"/>
    </row>
    <row r="95" spans="1:1" ht="15.75" customHeight="1">
      <c r="A95" s="47"/>
    </row>
    <row r="96" spans="1:1" ht="15.75" customHeight="1">
      <c r="A96" s="47"/>
    </row>
    <row r="97" spans="1:1" ht="15.75" customHeight="1">
      <c r="A97" s="47"/>
    </row>
    <row r="98" spans="1:1" ht="15.75" customHeight="1">
      <c r="A98" s="47"/>
    </row>
    <row r="99" spans="1:1" ht="15.75" customHeight="1">
      <c r="A99" s="47"/>
    </row>
    <row r="100" spans="1:1" ht="15.75" customHeight="1">
      <c r="A100" s="47"/>
    </row>
    <row r="101" spans="1:1" ht="15.75" customHeight="1">
      <c r="A101" s="47"/>
    </row>
    <row r="102" spans="1:1" ht="15.75" customHeight="1">
      <c r="A102" s="47"/>
    </row>
    <row r="103" spans="1:1" ht="15.75" customHeight="1">
      <c r="A103" s="47"/>
    </row>
    <row r="104" spans="1:1" ht="15.75" customHeight="1">
      <c r="A104" s="47"/>
    </row>
    <row r="105" spans="1:1" ht="15.75" customHeight="1">
      <c r="A105" s="47"/>
    </row>
    <row r="106" spans="1:1" ht="15.75" customHeight="1">
      <c r="A106" s="47"/>
    </row>
    <row r="107" spans="1:1" ht="15.75" customHeight="1">
      <c r="A107" s="47"/>
    </row>
    <row r="108" spans="1:1" ht="15.75" customHeight="1">
      <c r="A108" s="47"/>
    </row>
    <row r="109" spans="1:1" ht="15.75" customHeight="1">
      <c r="A109" s="47"/>
    </row>
    <row r="110" spans="1:1" ht="15.75" customHeight="1">
      <c r="A110" s="47"/>
    </row>
    <row r="111" spans="1:1" ht="15.75" customHeight="1">
      <c r="A111" s="47"/>
    </row>
    <row r="112" spans="1:1" ht="15.75" customHeight="1">
      <c r="A112" s="47"/>
    </row>
    <row r="113" spans="1:1" ht="15.75" customHeight="1">
      <c r="A113" s="47"/>
    </row>
    <row r="114" spans="1:1" ht="15.75" customHeight="1">
      <c r="A114" s="47"/>
    </row>
    <row r="115" spans="1:1" ht="15.75" customHeight="1">
      <c r="A115" s="47"/>
    </row>
    <row r="116" spans="1:1" ht="15.75" customHeight="1">
      <c r="A116" s="47"/>
    </row>
    <row r="117" spans="1:1" ht="15.75" customHeight="1">
      <c r="A117" s="47"/>
    </row>
    <row r="118" spans="1:1" ht="15.75" customHeight="1">
      <c r="A118" s="47"/>
    </row>
    <row r="119" spans="1:1" ht="15.75" customHeight="1">
      <c r="A119" s="47"/>
    </row>
    <row r="120" spans="1:1" ht="15.75" customHeight="1">
      <c r="A120" s="47"/>
    </row>
    <row r="121" spans="1:1" ht="15.75" customHeight="1">
      <c r="A121" s="47"/>
    </row>
    <row r="122" spans="1:1" ht="15.75" customHeight="1">
      <c r="A122" s="47"/>
    </row>
    <row r="123" spans="1:1" ht="15.75" customHeight="1">
      <c r="A123" s="47"/>
    </row>
    <row r="124" spans="1:1" ht="15.75" customHeight="1">
      <c r="A124" s="47"/>
    </row>
    <row r="125" spans="1:1" ht="15.75" customHeight="1">
      <c r="A125" s="47"/>
    </row>
    <row r="126" spans="1:1" ht="15.75" customHeight="1">
      <c r="A126" s="47"/>
    </row>
    <row r="127" spans="1:1" ht="15.75" customHeight="1">
      <c r="A127" s="47"/>
    </row>
    <row r="128" spans="1:1" ht="15.75" customHeight="1">
      <c r="A128" s="47"/>
    </row>
    <row r="129" spans="1:1" ht="15.75" customHeight="1">
      <c r="A129" s="47"/>
    </row>
    <row r="130" spans="1:1" ht="15.75" customHeight="1">
      <c r="A130" s="47"/>
    </row>
    <row r="131" spans="1:1" ht="15.75" customHeight="1">
      <c r="A131" s="47"/>
    </row>
    <row r="132" spans="1:1" ht="15.75" customHeight="1">
      <c r="A132" s="47"/>
    </row>
    <row r="133" spans="1:1" ht="15.75" customHeight="1">
      <c r="A133" s="47"/>
    </row>
    <row r="134" spans="1:1" ht="15.75" customHeight="1">
      <c r="A134" s="47"/>
    </row>
    <row r="135" spans="1:1" ht="15.75" customHeight="1">
      <c r="A135" s="47"/>
    </row>
    <row r="136" spans="1:1" ht="15.75" customHeight="1">
      <c r="A136" s="47"/>
    </row>
    <row r="137" spans="1:1" ht="15.75" customHeight="1">
      <c r="A137" s="47"/>
    </row>
    <row r="138" spans="1:1" ht="15.75" customHeight="1">
      <c r="A138" s="47"/>
    </row>
    <row r="139" spans="1:1" ht="15.75" customHeight="1">
      <c r="A139" s="47"/>
    </row>
    <row r="140" spans="1:1" ht="15.75" customHeight="1">
      <c r="A140" s="47"/>
    </row>
    <row r="141" spans="1:1" ht="15.75" customHeight="1">
      <c r="A141" s="47"/>
    </row>
    <row r="142" spans="1:1" ht="15.75" customHeight="1">
      <c r="A142" s="47"/>
    </row>
    <row r="143" spans="1:1" ht="15.75" customHeight="1">
      <c r="A143" s="47"/>
    </row>
    <row r="144" spans="1:1" ht="15.75" customHeight="1">
      <c r="A144" s="47"/>
    </row>
    <row r="145" spans="1:1" ht="15.75" customHeight="1">
      <c r="A145" s="47"/>
    </row>
    <row r="146" spans="1:1" ht="15.75" customHeight="1">
      <c r="A146" s="47"/>
    </row>
    <row r="147" spans="1:1" ht="15.75" customHeight="1">
      <c r="A147" s="47"/>
    </row>
    <row r="148" spans="1:1" ht="15.75" customHeight="1">
      <c r="A148" s="47"/>
    </row>
    <row r="149" spans="1:1" ht="15.75" customHeight="1">
      <c r="A149" s="47"/>
    </row>
    <row r="150" spans="1:1" ht="15.75" customHeight="1">
      <c r="A150" s="47"/>
    </row>
    <row r="151" spans="1:1" ht="15.75" customHeight="1">
      <c r="A151" s="47"/>
    </row>
    <row r="152" spans="1:1" ht="15.75" customHeight="1">
      <c r="A152" s="47"/>
    </row>
    <row r="153" spans="1:1" ht="15.75" customHeight="1">
      <c r="A153" s="47"/>
    </row>
    <row r="154" spans="1:1" ht="15.75" customHeight="1">
      <c r="A154" s="47"/>
    </row>
    <row r="155" spans="1:1" ht="15.75" customHeight="1">
      <c r="A155" s="47"/>
    </row>
    <row r="156" spans="1:1" ht="15.75" customHeight="1">
      <c r="A156" s="47"/>
    </row>
    <row r="157" spans="1:1" ht="15.75" customHeight="1">
      <c r="A157" s="47"/>
    </row>
    <row r="158" spans="1:1" ht="15.75" customHeight="1">
      <c r="A158" s="47"/>
    </row>
    <row r="159" spans="1:1" ht="15.75" customHeight="1">
      <c r="A159" s="47"/>
    </row>
    <row r="160" spans="1:1" ht="15.75" customHeight="1">
      <c r="A160" s="47"/>
    </row>
    <row r="161" spans="1:1" ht="15.75" customHeight="1">
      <c r="A161" s="47"/>
    </row>
    <row r="162" spans="1:1" ht="15.75" customHeight="1">
      <c r="A162" s="47"/>
    </row>
    <row r="163" spans="1:1" ht="15.75" customHeight="1">
      <c r="A163" s="47"/>
    </row>
    <row r="164" spans="1:1" ht="15.75" customHeight="1">
      <c r="A164" s="47"/>
    </row>
    <row r="165" spans="1:1" ht="15.75" customHeight="1">
      <c r="A165" s="47"/>
    </row>
    <row r="166" spans="1:1" ht="15.75" customHeight="1">
      <c r="A166" s="47"/>
    </row>
    <row r="167" spans="1:1" ht="15.75" customHeight="1">
      <c r="A167" s="47"/>
    </row>
    <row r="168" spans="1:1" ht="15.75" customHeight="1">
      <c r="A168" s="47"/>
    </row>
    <row r="169" spans="1:1" ht="15.75" customHeight="1">
      <c r="A169" s="47"/>
    </row>
    <row r="170" spans="1:1" ht="15.75" customHeight="1">
      <c r="A170" s="47"/>
    </row>
    <row r="171" spans="1:1" ht="15.75" customHeight="1">
      <c r="A171" s="47"/>
    </row>
    <row r="172" spans="1:1" ht="15.75" customHeight="1">
      <c r="A172" s="47"/>
    </row>
    <row r="173" spans="1:1" ht="15.75" customHeight="1">
      <c r="A173" s="47"/>
    </row>
    <row r="174" spans="1:1" ht="15.75" customHeight="1">
      <c r="A174" s="47"/>
    </row>
    <row r="175" spans="1:1" ht="15.75" customHeight="1">
      <c r="A175" s="47"/>
    </row>
    <row r="176" spans="1:1" ht="15.75" customHeight="1">
      <c r="A176" s="47"/>
    </row>
    <row r="177" spans="1:1" ht="15.75" customHeight="1">
      <c r="A177" s="47"/>
    </row>
    <row r="178" spans="1:1" ht="15.75" customHeight="1">
      <c r="A178" s="47"/>
    </row>
    <row r="179" spans="1:1" ht="15.75" customHeight="1">
      <c r="A179" s="47"/>
    </row>
    <row r="180" spans="1:1" ht="15.75" customHeight="1">
      <c r="A180" s="47"/>
    </row>
    <row r="181" spans="1:1" ht="15.75" customHeight="1">
      <c r="A181" s="47"/>
    </row>
    <row r="182" spans="1:1" ht="15.75" customHeight="1">
      <c r="A182" s="47"/>
    </row>
    <row r="183" spans="1:1" ht="15.75" customHeight="1">
      <c r="A183" s="47"/>
    </row>
    <row r="184" spans="1:1" ht="15.75" customHeight="1">
      <c r="A184" s="47"/>
    </row>
    <row r="185" spans="1:1" ht="15.75" customHeight="1">
      <c r="A185" s="47"/>
    </row>
    <row r="186" spans="1:1" ht="15.75" customHeight="1">
      <c r="A186" s="47"/>
    </row>
    <row r="187" spans="1:1" ht="15.75" customHeight="1">
      <c r="A187" s="47"/>
    </row>
    <row r="188" spans="1:1" ht="15.75" customHeight="1">
      <c r="A188" s="47"/>
    </row>
    <row r="189" spans="1:1" ht="15.75" customHeight="1">
      <c r="A189" s="47"/>
    </row>
    <row r="190" spans="1:1" ht="15.75" customHeight="1">
      <c r="A190" s="47"/>
    </row>
    <row r="191" spans="1:1" ht="15.75" customHeight="1">
      <c r="A191" s="47"/>
    </row>
    <row r="192" spans="1:1" ht="15.75" customHeight="1">
      <c r="A192" s="47"/>
    </row>
    <row r="193" spans="1:1" ht="15.75" customHeight="1">
      <c r="A193" s="47"/>
    </row>
    <row r="194" spans="1:1" ht="15.75" customHeight="1">
      <c r="A194" s="47"/>
    </row>
    <row r="195" spans="1:1" ht="15.75" customHeight="1">
      <c r="A195" s="47"/>
    </row>
    <row r="196" spans="1:1" ht="15.75" customHeight="1">
      <c r="A196" s="47"/>
    </row>
    <row r="197" spans="1:1" ht="15.75" customHeight="1">
      <c r="A197" s="47"/>
    </row>
    <row r="198" spans="1:1" ht="15.75" customHeight="1">
      <c r="A198" s="47"/>
    </row>
    <row r="199" spans="1:1" ht="15.75" customHeight="1">
      <c r="A199" s="47"/>
    </row>
    <row r="200" spans="1:1" ht="15.75" customHeight="1">
      <c r="A200" s="47"/>
    </row>
    <row r="201" spans="1:1" ht="15.75" customHeight="1">
      <c r="A201" s="47"/>
    </row>
    <row r="202" spans="1:1" ht="15.75" customHeight="1">
      <c r="A202" s="47"/>
    </row>
    <row r="203" spans="1:1" ht="15.75" customHeight="1">
      <c r="A203" s="47"/>
    </row>
    <row r="204" spans="1:1" ht="15.75" customHeight="1">
      <c r="A204" s="47"/>
    </row>
    <row r="205" spans="1:1" ht="15.75" customHeight="1">
      <c r="A205" s="47"/>
    </row>
    <row r="206" spans="1:1" ht="15.75" customHeight="1">
      <c r="A206" s="47"/>
    </row>
    <row r="207" spans="1:1" ht="15.75" customHeight="1">
      <c r="A207" s="47"/>
    </row>
    <row r="208" spans="1:1" ht="15.75" customHeight="1">
      <c r="A208" s="47"/>
    </row>
    <row r="209" spans="1:1" ht="15.75" customHeight="1">
      <c r="A209" s="47"/>
    </row>
    <row r="210" spans="1:1" ht="15.75" customHeight="1">
      <c r="A210" s="47"/>
    </row>
    <row r="211" spans="1:1" ht="15.75" customHeight="1">
      <c r="A211" s="47"/>
    </row>
    <row r="212" spans="1:1" ht="15.75" customHeight="1">
      <c r="A212" s="47"/>
    </row>
    <row r="213" spans="1:1" ht="15.75" customHeight="1">
      <c r="A213" s="47"/>
    </row>
    <row r="214" spans="1:1" ht="15.75" customHeight="1">
      <c r="A214" s="47"/>
    </row>
    <row r="215" spans="1:1" ht="15.75" customHeight="1">
      <c r="A215" s="47"/>
    </row>
    <row r="216" spans="1:1" ht="15.75" customHeight="1">
      <c r="A216" s="47"/>
    </row>
    <row r="217" spans="1:1" ht="15.75" customHeight="1">
      <c r="A217" s="47"/>
    </row>
    <row r="218" spans="1:1" ht="15.75" customHeight="1">
      <c r="A218" s="47"/>
    </row>
    <row r="219" spans="1:1" ht="15.75" customHeight="1">
      <c r="A219" s="47"/>
    </row>
    <row r="220" spans="1:1" ht="15.75" customHeight="1">
      <c r="A220" s="47"/>
    </row>
    <row r="221" spans="1:1" ht="15.75" customHeight="1">
      <c r="A221" s="47"/>
    </row>
    <row r="222" spans="1:1" ht="15.75" customHeight="1">
      <c r="A222" s="47"/>
    </row>
    <row r="223" spans="1:1" ht="15.75" customHeight="1">
      <c r="A223" s="47"/>
    </row>
    <row r="224" spans="1:1" ht="15.75" customHeight="1">
      <c r="A224" s="47"/>
    </row>
    <row r="225" spans="1:1" ht="15.75" customHeight="1">
      <c r="A225" s="47"/>
    </row>
    <row r="226" spans="1:1" ht="15.75" customHeight="1">
      <c r="A226" s="47"/>
    </row>
    <row r="227" spans="1:1" ht="15.75" customHeight="1">
      <c r="A227" s="47"/>
    </row>
    <row r="228" spans="1:1" ht="15.75" customHeight="1">
      <c r="A228" s="47"/>
    </row>
    <row r="229" spans="1:1" ht="15.75" customHeight="1">
      <c r="A229" s="47"/>
    </row>
    <row r="230" spans="1:1" ht="15.75" customHeight="1">
      <c r="A230" s="47"/>
    </row>
    <row r="231" spans="1:1" ht="15.75" customHeight="1">
      <c r="A231" s="47"/>
    </row>
    <row r="232" spans="1:1" ht="15.75" customHeight="1">
      <c r="A232" s="47"/>
    </row>
    <row r="233" spans="1:1" ht="15.75" customHeight="1">
      <c r="A233" s="47"/>
    </row>
    <row r="234" spans="1:1" ht="15.75" customHeight="1">
      <c r="A234" s="47"/>
    </row>
    <row r="235" spans="1:1" ht="15.75" customHeight="1">
      <c r="A235" s="47"/>
    </row>
    <row r="236" spans="1:1" ht="15.75" customHeight="1">
      <c r="A236" s="47"/>
    </row>
    <row r="237" spans="1:1" ht="15.75" customHeight="1">
      <c r="A237" s="47"/>
    </row>
    <row r="238" spans="1:1" ht="15.75" customHeight="1">
      <c r="A238" s="47"/>
    </row>
    <row r="239" spans="1:1" ht="15.75" customHeight="1">
      <c r="A239" s="47"/>
    </row>
    <row r="240" spans="1:1" ht="15.75" customHeight="1">
      <c r="A240" s="47"/>
    </row>
    <row r="241" spans="1:1" ht="15.75" customHeight="1">
      <c r="A241" s="47"/>
    </row>
    <row r="242" spans="1:1" ht="15.75" customHeight="1">
      <c r="A242" s="47"/>
    </row>
    <row r="243" spans="1:1" ht="15.75" customHeight="1">
      <c r="A243" s="47"/>
    </row>
    <row r="244" spans="1:1" ht="15.75" customHeight="1">
      <c r="A244" s="47"/>
    </row>
    <row r="245" spans="1:1" ht="15.75" customHeight="1">
      <c r="A245" s="47"/>
    </row>
    <row r="246" spans="1:1" ht="15.75" customHeight="1">
      <c r="A246" s="47"/>
    </row>
    <row r="247" spans="1:1" ht="15.75" customHeight="1">
      <c r="A247" s="47"/>
    </row>
    <row r="248" spans="1:1" ht="15.75" customHeight="1">
      <c r="A248" s="47"/>
    </row>
    <row r="249" spans="1:1" ht="15.75" customHeight="1">
      <c r="A249" s="47"/>
    </row>
    <row r="250" spans="1:1" ht="15.75" customHeight="1">
      <c r="A250" s="47"/>
    </row>
    <row r="251" spans="1:1" ht="15.75" customHeight="1">
      <c r="A251" s="47"/>
    </row>
    <row r="252" spans="1:1" ht="15.75" customHeight="1">
      <c r="A252" s="47"/>
    </row>
    <row r="253" spans="1:1" ht="15.75" customHeight="1">
      <c r="A253" s="47"/>
    </row>
    <row r="254" spans="1:1" ht="15.75" customHeight="1">
      <c r="A254" s="47"/>
    </row>
    <row r="255" spans="1:1" ht="15.75" customHeight="1">
      <c r="A255" s="47"/>
    </row>
    <row r="256" spans="1:1" ht="15.75" customHeight="1">
      <c r="A256" s="47"/>
    </row>
    <row r="257" spans="1:1" ht="15.75" customHeight="1">
      <c r="A257" s="47"/>
    </row>
    <row r="258" spans="1:1" ht="15.75" customHeight="1">
      <c r="A258" s="47"/>
    </row>
    <row r="259" spans="1:1" ht="15.75" customHeight="1">
      <c r="A259" s="47"/>
    </row>
    <row r="260" spans="1:1" ht="15.75" customHeight="1">
      <c r="A260" s="47"/>
    </row>
    <row r="261" spans="1:1" ht="15.75" customHeight="1">
      <c r="A261" s="47"/>
    </row>
    <row r="262" spans="1:1" ht="15.75" customHeight="1">
      <c r="A262" s="47"/>
    </row>
    <row r="263" spans="1:1" ht="15.75" customHeight="1">
      <c r="A263" s="47"/>
    </row>
    <row r="264" spans="1:1" ht="15.75" customHeight="1">
      <c r="A264" s="47"/>
    </row>
    <row r="265" spans="1:1" ht="15.75" customHeight="1">
      <c r="A265" s="47"/>
    </row>
    <row r="266" spans="1:1" ht="15.75" customHeight="1">
      <c r="A266" s="47"/>
    </row>
    <row r="267" spans="1:1" ht="15.75" customHeight="1">
      <c r="A267" s="47"/>
    </row>
    <row r="268" spans="1:1" ht="15.75" customHeight="1">
      <c r="A268" s="47"/>
    </row>
    <row r="269" spans="1:1" ht="15.75" customHeight="1">
      <c r="A269" s="47"/>
    </row>
    <row r="270" spans="1:1" ht="15.75" customHeight="1">
      <c r="A270" s="47"/>
    </row>
    <row r="271" spans="1:1" ht="15.75" customHeight="1">
      <c r="A271" s="47"/>
    </row>
    <row r="272" spans="1:1" ht="15.75" customHeight="1">
      <c r="A272" s="47"/>
    </row>
    <row r="273" spans="1:1" ht="15.75" customHeight="1">
      <c r="A273" s="47"/>
    </row>
    <row r="274" spans="1:1" ht="15.75" customHeight="1">
      <c r="A274" s="47"/>
    </row>
    <row r="275" spans="1:1" ht="15.75" customHeight="1">
      <c r="A275" s="47"/>
    </row>
    <row r="276" spans="1:1" ht="15.75" customHeight="1">
      <c r="A276" s="47"/>
    </row>
    <row r="277" spans="1:1" ht="15.75" customHeight="1">
      <c r="A277" s="47"/>
    </row>
    <row r="278" spans="1:1" ht="15.75" customHeight="1">
      <c r="A278" s="47"/>
    </row>
    <row r="279" spans="1:1" ht="15.75" customHeight="1">
      <c r="A279" s="47"/>
    </row>
    <row r="280" spans="1:1" ht="15.75" customHeight="1">
      <c r="A280" s="47"/>
    </row>
    <row r="281" spans="1:1" ht="15.75" customHeight="1">
      <c r="A281" s="47"/>
    </row>
    <row r="282" spans="1:1" ht="15.75" customHeight="1">
      <c r="A282" s="47"/>
    </row>
    <row r="283" spans="1:1" ht="15.75" customHeight="1">
      <c r="A283" s="47"/>
    </row>
    <row r="284" spans="1:1" ht="15.75" customHeight="1">
      <c r="A284" s="47"/>
    </row>
    <row r="285" spans="1:1" ht="15.75" customHeight="1">
      <c r="A285" s="47"/>
    </row>
    <row r="286" spans="1:1" ht="15.75" customHeight="1">
      <c r="A286" s="47"/>
    </row>
    <row r="287" spans="1:1" ht="15.75" customHeight="1">
      <c r="A287" s="47"/>
    </row>
    <row r="288" spans="1:1" ht="15.75" customHeight="1">
      <c r="A288" s="47"/>
    </row>
    <row r="289" spans="1:1" ht="15.75" customHeight="1">
      <c r="A289" s="47"/>
    </row>
    <row r="290" spans="1:1" ht="15.75" customHeight="1">
      <c r="A290" s="47"/>
    </row>
    <row r="291" spans="1:1" ht="15.75" customHeight="1">
      <c r="A291" s="47"/>
    </row>
    <row r="292" spans="1:1" ht="15.75" customHeight="1">
      <c r="A292" s="47"/>
    </row>
    <row r="293" spans="1:1" ht="15.75" customHeight="1">
      <c r="A293" s="47"/>
    </row>
    <row r="294" spans="1:1" ht="15.75" customHeight="1">
      <c r="A294" s="47"/>
    </row>
    <row r="295" spans="1:1" ht="15.75" customHeight="1">
      <c r="A295" s="47"/>
    </row>
    <row r="296" spans="1:1" ht="15.75" customHeight="1">
      <c r="A296" s="47"/>
    </row>
    <row r="297" spans="1:1" ht="15.75" customHeight="1">
      <c r="A297" s="47"/>
    </row>
    <row r="298" spans="1:1" ht="15.75" customHeight="1">
      <c r="A298" s="47"/>
    </row>
    <row r="299" spans="1:1" ht="15.75" customHeight="1">
      <c r="A299" s="47"/>
    </row>
    <row r="300" spans="1:1" ht="15.75" customHeight="1">
      <c r="A300" s="47"/>
    </row>
    <row r="301" spans="1:1" ht="15.75" customHeight="1">
      <c r="A301" s="47"/>
    </row>
    <row r="302" spans="1:1" ht="15.75" customHeight="1">
      <c r="A302" s="47"/>
    </row>
    <row r="303" spans="1:1" ht="15.75" customHeight="1">
      <c r="A303" s="47"/>
    </row>
    <row r="304" spans="1:1" ht="15.75" customHeight="1">
      <c r="A304" s="47"/>
    </row>
    <row r="305" spans="1:1" ht="15.75" customHeight="1">
      <c r="A305" s="47"/>
    </row>
    <row r="306" spans="1:1" ht="15.75" customHeight="1">
      <c r="A306" s="47"/>
    </row>
    <row r="307" spans="1:1" ht="15.75" customHeight="1">
      <c r="A307" s="47"/>
    </row>
    <row r="308" spans="1:1" ht="15.75" customHeight="1">
      <c r="A308" s="47"/>
    </row>
    <row r="309" spans="1:1" ht="15.75" customHeight="1">
      <c r="A309" s="47"/>
    </row>
    <row r="310" spans="1:1" ht="15.75" customHeight="1">
      <c r="A310" s="47"/>
    </row>
    <row r="311" spans="1:1" ht="15.75" customHeight="1">
      <c r="A311" s="47"/>
    </row>
    <row r="312" spans="1:1" ht="15.75" customHeight="1">
      <c r="A312" s="47"/>
    </row>
    <row r="313" spans="1:1" ht="15.75" customHeight="1">
      <c r="A313" s="47"/>
    </row>
    <row r="314" spans="1:1" ht="15.75" customHeight="1">
      <c r="A314" s="47"/>
    </row>
    <row r="315" spans="1:1" ht="15.75" customHeight="1">
      <c r="A315" s="47"/>
    </row>
    <row r="316" spans="1:1" ht="15.75" customHeight="1">
      <c r="A316" s="47"/>
    </row>
    <row r="317" spans="1:1" ht="15.75" customHeight="1">
      <c r="A317" s="47"/>
    </row>
    <row r="318" spans="1:1" ht="15.75" customHeight="1">
      <c r="A318" s="47"/>
    </row>
    <row r="319" spans="1:1" ht="15.75" customHeight="1">
      <c r="A319" s="47"/>
    </row>
    <row r="320" spans="1:1" ht="15.75" customHeight="1">
      <c r="A320" s="47"/>
    </row>
    <row r="321" spans="1:1" ht="15.75" customHeight="1">
      <c r="A321" s="47"/>
    </row>
    <row r="322" spans="1:1" ht="15.75" customHeight="1">
      <c r="A322" s="47"/>
    </row>
    <row r="323" spans="1:1" ht="15.75" customHeight="1">
      <c r="A323" s="47"/>
    </row>
    <row r="324" spans="1:1" ht="15.75" customHeight="1">
      <c r="A324" s="47"/>
    </row>
    <row r="325" spans="1:1" ht="15.75" customHeight="1">
      <c r="A325" s="47"/>
    </row>
    <row r="326" spans="1:1" ht="15.75" customHeight="1">
      <c r="A326" s="47"/>
    </row>
    <row r="327" spans="1:1" ht="15.75" customHeight="1">
      <c r="A327" s="47"/>
    </row>
    <row r="328" spans="1:1" ht="15.75" customHeight="1">
      <c r="A328" s="47"/>
    </row>
    <row r="329" spans="1:1" ht="15.75" customHeight="1">
      <c r="A329" s="47"/>
    </row>
    <row r="330" spans="1:1" ht="15.75" customHeight="1">
      <c r="A330" s="47"/>
    </row>
    <row r="331" spans="1:1" ht="15.75" customHeight="1">
      <c r="A331" s="47"/>
    </row>
    <row r="332" spans="1:1" ht="15.75" customHeight="1">
      <c r="A332" s="47"/>
    </row>
    <row r="333" spans="1:1" ht="15.75" customHeight="1">
      <c r="A333" s="47"/>
    </row>
    <row r="334" spans="1:1" ht="15.75" customHeight="1">
      <c r="A334" s="47"/>
    </row>
    <row r="335" spans="1:1" ht="15.75" customHeight="1">
      <c r="A335" s="47"/>
    </row>
    <row r="336" spans="1:1" ht="15.75" customHeight="1">
      <c r="A336" s="47"/>
    </row>
    <row r="337" spans="1:1" ht="15.75" customHeight="1">
      <c r="A337" s="47"/>
    </row>
    <row r="338" spans="1:1" ht="15.75" customHeight="1">
      <c r="A338" s="47"/>
    </row>
    <row r="339" spans="1:1" ht="15.75" customHeight="1">
      <c r="A339" s="47"/>
    </row>
    <row r="340" spans="1:1" ht="15.75" customHeight="1">
      <c r="A340" s="47"/>
    </row>
    <row r="341" spans="1:1" ht="15.75" customHeight="1">
      <c r="A341" s="47"/>
    </row>
    <row r="342" spans="1:1" ht="15.75" customHeight="1">
      <c r="A342" s="47"/>
    </row>
    <row r="343" spans="1:1" ht="15.75" customHeight="1">
      <c r="A343" s="47"/>
    </row>
    <row r="344" spans="1:1" ht="15.75" customHeight="1">
      <c r="A344" s="47"/>
    </row>
    <row r="345" spans="1:1" ht="15.75" customHeight="1">
      <c r="A345" s="47"/>
    </row>
    <row r="346" spans="1:1" ht="15.75" customHeight="1">
      <c r="A346" s="47"/>
    </row>
    <row r="347" spans="1:1" ht="15.75" customHeight="1">
      <c r="A347" s="47"/>
    </row>
    <row r="348" spans="1:1" ht="15.75" customHeight="1">
      <c r="A348" s="47"/>
    </row>
    <row r="349" spans="1:1" ht="15.75" customHeight="1">
      <c r="A349" s="47"/>
    </row>
    <row r="350" spans="1:1" ht="15.75" customHeight="1">
      <c r="A350" s="47"/>
    </row>
    <row r="351" spans="1:1" ht="15.75" customHeight="1">
      <c r="A351" s="47"/>
    </row>
    <row r="352" spans="1:1" ht="15.75" customHeight="1">
      <c r="A352" s="47"/>
    </row>
    <row r="353" spans="1:1" ht="15.75" customHeight="1">
      <c r="A353" s="47"/>
    </row>
    <row r="354" spans="1:1" ht="15.75" customHeight="1">
      <c r="A354" s="47"/>
    </row>
    <row r="355" spans="1:1" ht="15.75" customHeight="1">
      <c r="A355" s="47"/>
    </row>
    <row r="356" spans="1:1" ht="15.75" customHeight="1">
      <c r="A356" s="47"/>
    </row>
    <row r="357" spans="1:1" ht="15.75" customHeight="1">
      <c r="A357" s="47"/>
    </row>
    <row r="358" spans="1:1" ht="15.75" customHeight="1">
      <c r="A358" s="47"/>
    </row>
    <row r="359" spans="1:1" ht="15.75" customHeight="1">
      <c r="A359" s="47"/>
    </row>
    <row r="360" spans="1:1" ht="15.75" customHeight="1">
      <c r="A360" s="47"/>
    </row>
    <row r="361" spans="1:1" ht="15.75" customHeight="1">
      <c r="A361" s="47"/>
    </row>
    <row r="362" spans="1:1" ht="15.75" customHeight="1">
      <c r="A362" s="47"/>
    </row>
    <row r="363" spans="1:1" ht="15.75" customHeight="1">
      <c r="A363" s="47"/>
    </row>
    <row r="364" spans="1:1" ht="15.75" customHeight="1">
      <c r="A364" s="47"/>
    </row>
    <row r="365" spans="1:1" ht="15.75" customHeight="1">
      <c r="A365" s="47"/>
    </row>
    <row r="366" spans="1:1" ht="15.75" customHeight="1">
      <c r="A366" s="47"/>
    </row>
    <row r="367" spans="1:1" ht="15.75" customHeight="1">
      <c r="A367" s="47"/>
    </row>
    <row r="368" spans="1:1" ht="15.75" customHeight="1">
      <c r="A368" s="47"/>
    </row>
    <row r="369" spans="1:1" ht="15.75" customHeight="1">
      <c r="A369" s="47"/>
    </row>
    <row r="370" spans="1:1" ht="15.75" customHeight="1">
      <c r="A370" s="47"/>
    </row>
    <row r="371" spans="1:1" ht="15.75" customHeight="1">
      <c r="A371" s="47"/>
    </row>
    <row r="372" spans="1:1" ht="15.75" customHeight="1">
      <c r="A372" s="47"/>
    </row>
    <row r="373" spans="1:1" ht="15.75" customHeight="1">
      <c r="A373" s="47"/>
    </row>
    <row r="374" spans="1:1" ht="15.75" customHeight="1">
      <c r="A374" s="47"/>
    </row>
    <row r="375" spans="1:1" ht="15.75" customHeight="1">
      <c r="A375" s="47"/>
    </row>
    <row r="376" spans="1:1" ht="15.75" customHeight="1">
      <c r="A376" s="47"/>
    </row>
    <row r="377" spans="1:1" ht="15.75" customHeight="1">
      <c r="A377" s="47"/>
    </row>
    <row r="378" spans="1:1" ht="15.75" customHeight="1">
      <c r="A378" s="47"/>
    </row>
    <row r="379" spans="1:1" ht="15.75" customHeight="1">
      <c r="A379" s="47"/>
    </row>
    <row r="380" spans="1:1" ht="15.75" customHeight="1">
      <c r="A380" s="47"/>
    </row>
    <row r="381" spans="1:1" ht="15.75" customHeight="1">
      <c r="A381" s="47"/>
    </row>
    <row r="382" spans="1:1" ht="15.75" customHeight="1">
      <c r="A382" s="47"/>
    </row>
    <row r="383" spans="1:1" ht="15.75" customHeight="1">
      <c r="A383" s="47"/>
    </row>
    <row r="384" spans="1:1" ht="15.75" customHeight="1">
      <c r="A384" s="47"/>
    </row>
    <row r="385" spans="1:1" ht="15.75" customHeight="1">
      <c r="A385" s="47"/>
    </row>
    <row r="386" spans="1:1" ht="15.75" customHeight="1">
      <c r="A386" s="47"/>
    </row>
    <row r="387" spans="1:1" ht="15.75" customHeight="1">
      <c r="A387" s="47"/>
    </row>
    <row r="388" spans="1:1" ht="15.75" customHeight="1">
      <c r="A388" s="47"/>
    </row>
    <row r="389" spans="1:1" ht="15.75" customHeight="1">
      <c r="A389" s="47"/>
    </row>
    <row r="390" spans="1:1" ht="15.75" customHeight="1">
      <c r="A390" s="47"/>
    </row>
    <row r="391" spans="1:1" ht="15.75" customHeight="1">
      <c r="A391" s="47"/>
    </row>
    <row r="392" spans="1:1" ht="15.75" customHeight="1">
      <c r="A392" s="47"/>
    </row>
    <row r="393" spans="1:1" ht="15.75" customHeight="1">
      <c r="A393" s="47"/>
    </row>
    <row r="394" spans="1:1" ht="15.75" customHeight="1">
      <c r="A394" s="47"/>
    </row>
    <row r="395" spans="1:1" ht="15.75" customHeight="1">
      <c r="A395" s="47"/>
    </row>
    <row r="396" spans="1:1" ht="15.75" customHeight="1">
      <c r="A396" s="47"/>
    </row>
    <row r="397" spans="1:1" ht="15.75" customHeight="1">
      <c r="A397" s="47"/>
    </row>
    <row r="398" spans="1:1" ht="15.75" customHeight="1">
      <c r="A398" s="47"/>
    </row>
    <row r="399" spans="1:1" ht="15.75" customHeight="1">
      <c r="A399" s="47"/>
    </row>
    <row r="400" spans="1:1" ht="15.75" customHeight="1">
      <c r="A400" s="47"/>
    </row>
    <row r="401" spans="1:1" ht="15.75" customHeight="1">
      <c r="A401" s="47"/>
    </row>
    <row r="402" spans="1:1" ht="15.75" customHeight="1">
      <c r="A402" s="47"/>
    </row>
    <row r="403" spans="1:1" ht="15.75" customHeight="1">
      <c r="A403" s="47"/>
    </row>
    <row r="404" spans="1:1" ht="15.75" customHeight="1">
      <c r="A404" s="47"/>
    </row>
    <row r="405" spans="1:1" ht="15.75" customHeight="1">
      <c r="A405" s="47"/>
    </row>
    <row r="406" spans="1:1" ht="15.75" customHeight="1">
      <c r="A406" s="47"/>
    </row>
    <row r="407" spans="1:1" ht="15.75" customHeight="1">
      <c r="A407" s="47"/>
    </row>
    <row r="408" spans="1:1" ht="15.75" customHeight="1">
      <c r="A408" s="47"/>
    </row>
    <row r="409" spans="1:1" ht="15.75" customHeight="1">
      <c r="A409" s="47"/>
    </row>
    <row r="410" spans="1:1" ht="15.75" customHeight="1">
      <c r="A410" s="47"/>
    </row>
    <row r="411" spans="1:1" ht="15.75" customHeight="1">
      <c r="A411" s="47"/>
    </row>
    <row r="412" spans="1:1" ht="15.75" customHeight="1">
      <c r="A412" s="47"/>
    </row>
    <row r="413" spans="1:1" ht="15.75" customHeight="1">
      <c r="A413" s="47"/>
    </row>
    <row r="414" spans="1:1" ht="15.75" customHeight="1">
      <c r="A414" s="47"/>
    </row>
    <row r="415" spans="1:1" ht="15.75" customHeight="1">
      <c r="A415" s="47"/>
    </row>
    <row r="416" spans="1:1" ht="15.75" customHeight="1">
      <c r="A416" s="47"/>
    </row>
    <row r="417" spans="1:1" ht="15.75" customHeight="1">
      <c r="A417" s="47"/>
    </row>
    <row r="418" spans="1:1" ht="15.75" customHeight="1">
      <c r="A418" s="47"/>
    </row>
    <row r="419" spans="1:1" ht="15.75" customHeight="1">
      <c r="A419" s="47"/>
    </row>
    <row r="420" spans="1:1" ht="15.75" customHeight="1">
      <c r="A420" s="47"/>
    </row>
    <row r="421" spans="1:1" ht="15.75" customHeight="1">
      <c r="A421" s="47"/>
    </row>
    <row r="422" spans="1:1" ht="15.75" customHeight="1">
      <c r="A422" s="47"/>
    </row>
    <row r="423" spans="1:1" ht="15.75" customHeight="1">
      <c r="A423" s="47"/>
    </row>
    <row r="424" spans="1:1" ht="15.75" customHeight="1">
      <c r="A424" s="47"/>
    </row>
    <row r="425" spans="1:1" ht="15.75" customHeight="1">
      <c r="A425" s="47"/>
    </row>
    <row r="426" spans="1:1" ht="15.75" customHeight="1">
      <c r="A426" s="47"/>
    </row>
    <row r="427" spans="1:1" ht="15.75" customHeight="1">
      <c r="A427" s="47"/>
    </row>
    <row r="428" spans="1:1" ht="15.75" customHeight="1">
      <c r="A428" s="47"/>
    </row>
    <row r="429" spans="1:1" ht="15.75" customHeight="1">
      <c r="A429" s="47"/>
    </row>
    <row r="430" spans="1:1" ht="15.75" customHeight="1">
      <c r="A430" s="47"/>
    </row>
    <row r="431" spans="1:1" ht="15.75" customHeight="1">
      <c r="A431" s="47"/>
    </row>
    <row r="432" spans="1:1" ht="15.75" customHeight="1">
      <c r="A432" s="47"/>
    </row>
    <row r="433" spans="1:1" ht="15.75" customHeight="1">
      <c r="A433" s="47"/>
    </row>
    <row r="434" spans="1:1" ht="15.75" customHeight="1">
      <c r="A434" s="47"/>
    </row>
    <row r="435" spans="1:1" ht="15.75" customHeight="1">
      <c r="A435" s="47"/>
    </row>
    <row r="436" spans="1:1" ht="15.75" customHeight="1">
      <c r="A436" s="47"/>
    </row>
    <row r="437" spans="1:1" ht="15.75" customHeight="1">
      <c r="A437" s="47"/>
    </row>
    <row r="438" spans="1:1" ht="15.75" customHeight="1">
      <c r="A438" s="47"/>
    </row>
    <row r="439" spans="1:1" ht="15.75" customHeight="1">
      <c r="A439" s="47"/>
    </row>
    <row r="440" spans="1:1" ht="15.75" customHeight="1">
      <c r="A440" s="47"/>
    </row>
    <row r="441" spans="1:1" ht="15.75" customHeight="1">
      <c r="A441" s="47"/>
    </row>
    <row r="442" spans="1:1" ht="15.75" customHeight="1">
      <c r="A442" s="47"/>
    </row>
    <row r="443" spans="1:1" ht="15.75" customHeight="1">
      <c r="A443" s="47"/>
    </row>
    <row r="444" spans="1:1" ht="15.75" customHeight="1">
      <c r="A444" s="47"/>
    </row>
    <row r="445" spans="1:1" ht="15.75" customHeight="1">
      <c r="A445" s="47"/>
    </row>
    <row r="446" spans="1:1" ht="15.75" customHeight="1">
      <c r="A446" s="47"/>
    </row>
    <row r="447" spans="1:1" ht="15.75" customHeight="1">
      <c r="A447" s="47"/>
    </row>
    <row r="448" spans="1:1" ht="15.75" customHeight="1">
      <c r="A448" s="47"/>
    </row>
    <row r="449" spans="1:1" ht="15.75" customHeight="1">
      <c r="A449" s="47"/>
    </row>
    <row r="450" spans="1:1" ht="15.75" customHeight="1">
      <c r="A450" s="47"/>
    </row>
    <row r="451" spans="1:1" ht="15.75" customHeight="1">
      <c r="A451" s="47"/>
    </row>
    <row r="452" spans="1:1" ht="15.75" customHeight="1">
      <c r="A452" s="47"/>
    </row>
    <row r="453" spans="1:1" ht="15.75" customHeight="1">
      <c r="A453" s="47"/>
    </row>
    <row r="454" spans="1:1" ht="15.75" customHeight="1">
      <c r="A454" s="47"/>
    </row>
    <row r="455" spans="1:1" ht="15.75" customHeight="1">
      <c r="A455" s="47"/>
    </row>
    <row r="456" spans="1:1" ht="15.75" customHeight="1">
      <c r="A456" s="47"/>
    </row>
    <row r="457" spans="1:1" ht="15.75" customHeight="1">
      <c r="A457" s="47"/>
    </row>
    <row r="458" spans="1:1" ht="15.75" customHeight="1">
      <c r="A458" s="47"/>
    </row>
    <row r="459" spans="1:1" ht="15.75" customHeight="1">
      <c r="A459" s="47"/>
    </row>
    <row r="460" spans="1:1" ht="15.75" customHeight="1">
      <c r="A460" s="47"/>
    </row>
    <row r="461" spans="1:1" ht="15.75" customHeight="1">
      <c r="A461" s="47"/>
    </row>
    <row r="462" spans="1:1" ht="15.75" customHeight="1">
      <c r="A462" s="47"/>
    </row>
    <row r="463" spans="1:1" ht="15.75" customHeight="1">
      <c r="A463" s="47"/>
    </row>
    <row r="464" spans="1:1" ht="15.75" customHeight="1">
      <c r="A464" s="47"/>
    </row>
    <row r="465" spans="1:1" ht="15.75" customHeight="1">
      <c r="A465" s="47"/>
    </row>
    <row r="466" spans="1:1" ht="15.75" customHeight="1">
      <c r="A466" s="47"/>
    </row>
    <row r="467" spans="1:1" ht="15.75" customHeight="1">
      <c r="A467" s="47"/>
    </row>
    <row r="468" spans="1:1" ht="15.75" customHeight="1">
      <c r="A468" s="47"/>
    </row>
    <row r="469" spans="1:1" ht="15.75" customHeight="1">
      <c r="A469" s="47"/>
    </row>
    <row r="470" spans="1:1" ht="15.75" customHeight="1">
      <c r="A470" s="47"/>
    </row>
    <row r="471" spans="1:1" ht="15.75" customHeight="1">
      <c r="A471" s="47"/>
    </row>
    <row r="472" spans="1:1" ht="15.75" customHeight="1">
      <c r="A472" s="47"/>
    </row>
    <row r="473" spans="1:1" ht="15.75" customHeight="1">
      <c r="A473" s="47"/>
    </row>
    <row r="474" spans="1:1" ht="15.75" customHeight="1">
      <c r="A474" s="47"/>
    </row>
    <row r="475" spans="1:1" ht="15.75" customHeight="1">
      <c r="A475" s="47"/>
    </row>
    <row r="476" spans="1:1" ht="15.75" customHeight="1">
      <c r="A476" s="47"/>
    </row>
    <row r="477" spans="1:1" ht="15.75" customHeight="1">
      <c r="A477" s="47"/>
    </row>
    <row r="478" spans="1:1" ht="15.75" customHeight="1">
      <c r="A478" s="47"/>
    </row>
    <row r="479" spans="1:1" ht="15.75" customHeight="1">
      <c r="A479" s="47"/>
    </row>
    <row r="480" spans="1:1" ht="15.75" customHeight="1">
      <c r="A480" s="47"/>
    </row>
    <row r="481" spans="1:1" ht="15.75" customHeight="1">
      <c r="A481" s="47"/>
    </row>
    <row r="482" spans="1:1" ht="15.75" customHeight="1">
      <c r="A482" s="47"/>
    </row>
    <row r="483" spans="1:1" ht="15.75" customHeight="1">
      <c r="A483" s="47"/>
    </row>
    <row r="484" spans="1:1" ht="15.75" customHeight="1">
      <c r="A484" s="47"/>
    </row>
    <row r="485" spans="1:1" ht="15.75" customHeight="1">
      <c r="A485" s="47"/>
    </row>
    <row r="486" spans="1:1" ht="15.75" customHeight="1">
      <c r="A486" s="47"/>
    </row>
    <row r="487" spans="1:1" ht="15.75" customHeight="1">
      <c r="A487" s="47"/>
    </row>
    <row r="488" spans="1:1" ht="15.75" customHeight="1">
      <c r="A488" s="47"/>
    </row>
    <row r="489" spans="1:1" ht="15.75" customHeight="1">
      <c r="A489" s="47"/>
    </row>
    <row r="490" spans="1:1" ht="15.75" customHeight="1">
      <c r="A490" s="47"/>
    </row>
    <row r="491" spans="1:1" ht="15.75" customHeight="1">
      <c r="A491" s="47"/>
    </row>
    <row r="492" spans="1:1" ht="15.75" customHeight="1">
      <c r="A492" s="47"/>
    </row>
    <row r="493" spans="1:1" ht="15.75" customHeight="1">
      <c r="A493" s="47"/>
    </row>
    <row r="494" spans="1:1" ht="15.75" customHeight="1">
      <c r="A494" s="47"/>
    </row>
    <row r="495" spans="1:1" ht="15.75" customHeight="1">
      <c r="A495" s="47"/>
    </row>
    <row r="496" spans="1:1" ht="15.75" customHeight="1">
      <c r="A496" s="47"/>
    </row>
    <row r="497" spans="1:1" ht="15.75" customHeight="1">
      <c r="A497" s="47"/>
    </row>
    <row r="498" spans="1:1" ht="15.75" customHeight="1">
      <c r="A498" s="47"/>
    </row>
    <row r="499" spans="1:1" ht="15.75" customHeight="1">
      <c r="A499" s="47"/>
    </row>
    <row r="500" spans="1:1" ht="15.75" customHeight="1">
      <c r="A500" s="47"/>
    </row>
    <row r="501" spans="1:1" ht="15.75" customHeight="1">
      <c r="A501" s="47"/>
    </row>
    <row r="502" spans="1:1" ht="15.75" customHeight="1">
      <c r="A502" s="47"/>
    </row>
    <row r="503" spans="1:1" ht="15.75" customHeight="1">
      <c r="A503" s="47"/>
    </row>
    <row r="504" spans="1:1" ht="15.75" customHeight="1">
      <c r="A504" s="47"/>
    </row>
    <row r="505" spans="1:1" ht="15.75" customHeight="1">
      <c r="A505" s="47"/>
    </row>
    <row r="506" spans="1:1" ht="15.75" customHeight="1">
      <c r="A506" s="47"/>
    </row>
    <row r="507" spans="1:1" ht="15.75" customHeight="1">
      <c r="A507" s="47"/>
    </row>
    <row r="508" spans="1:1" ht="15.75" customHeight="1">
      <c r="A508" s="47"/>
    </row>
    <row r="509" spans="1:1" ht="15.75" customHeight="1">
      <c r="A509" s="47"/>
    </row>
    <row r="510" spans="1:1" ht="15.75" customHeight="1">
      <c r="A510" s="47"/>
    </row>
    <row r="511" spans="1:1" ht="15.75" customHeight="1">
      <c r="A511" s="47"/>
    </row>
    <row r="512" spans="1:1" ht="15.75" customHeight="1">
      <c r="A512" s="47"/>
    </row>
    <row r="513" spans="1:1" ht="15.75" customHeight="1">
      <c r="A513" s="47"/>
    </row>
    <row r="514" spans="1:1" ht="15.75" customHeight="1">
      <c r="A514" s="47"/>
    </row>
    <row r="515" spans="1:1" ht="15.75" customHeight="1">
      <c r="A515" s="47"/>
    </row>
    <row r="516" spans="1:1" ht="15.75" customHeight="1">
      <c r="A516" s="47"/>
    </row>
    <row r="517" spans="1:1" ht="15.75" customHeight="1">
      <c r="A517" s="47"/>
    </row>
    <row r="518" spans="1:1" ht="15.75" customHeight="1">
      <c r="A518" s="47"/>
    </row>
    <row r="519" spans="1:1" ht="15.75" customHeight="1">
      <c r="A519" s="47"/>
    </row>
    <row r="520" spans="1:1" ht="15.75" customHeight="1">
      <c r="A520" s="47"/>
    </row>
    <row r="521" spans="1:1" ht="15.75" customHeight="1">
      <c r="A521" s="47"/>
    </row>
    <row r="522" spans="1:1" ht="15.75" customHeight="1">
      <c r="A522" s="47"/>
    </row>
    <row r="523" spans="1:1" ht="15.75" customHeight="1">
      <c r="A523" s="47"/>
    </row>
    <row r="524" spans="1:1" ht="15.75" customHeight="1">
      <c r="A524" s="47"/>
    </row>
    <row r="525" spans="1:1" ht="15.75" customHeight="1">
      <c r="A525" s="47"/>
    </row>
    <row r="526" spans="1:1" ht="15.75" customHeight="1">
      <c r="A526" s="47"/>
    </row>
    <row r="527" spans="1:1" ht="15.75" customHeight="1">
      <c r="A527" s="47"/>
    </row>
    <row r="528" spans="1:1" ht="15.75" customHeight="1">
      <c r="A528" s="47"/>
    </row>
    <row r="529" spans="1:1" ht="15.75" customHeight="1">
      <c r="A529" s="47"/>
    </row>
    <row r="530" spans="1:1" ht="15.75" customHeight="1">
      <c r="A530" s="47"/>
    </row>
    <row r="531" spans="1:1" ht="15.75" customHeight="1">
      <c r="A531" s="47"/>
    </row>
    <row r="532" spans="1:1" ht="15.75" customHeight="1">
      <c r="A532" s="47"/>
    </row>
    <row r="533" spans="1:1" ht="15.75" customHeight="1">
      <c r="A533" s="47"/>
    </row>
    <row r="534" spans="1:1" ht="15.75" customHeight="1">
      <c r="A534" s="47"/>
    </row>
    <row r="535" spans="1:1" ht="15.75" customHeight="1">
      <c r="A535" s="47"/>
    </row>
    <row r="536" spans="1:1" ht="15.75" customHeight="1">
      <c r="A536" s="47"/>
    </row>
    <row r="537" spans="1:1" ht="15.75" customHeight="1">
      <c r="A537" s="47"/>
    </row>
    <row r="538" spans="1:1" ht="15.75" customHeight="1">
      <c r="A538" s="47"/>
    </row>
    <row r="539" spans="1:1" ht="15.75" customHeight="1">
      <c r="A539" s="47"/>
    </row>
    <row r="540" spans="1:1" ht="15.75" customHeight="1">
      <c r="A540" s="47"/>
    </row>
    <row r="541" spans="1:1" ht="15.75" customHeight="1">
      <c r="A541" s="47"/>
    </row>
    <row r="542" spans="1:1" ht="15.75" customHeight="1">
      <c r="A542" s="47"/>
    </row>
    <row r="543" spans="1:1" ht="15.75" customHeight="1">
      <c r="A543" s="47"/>
    </row>
    <row r="544" spans="1:1" ht="15.75" customHeight="1">
      <c r="A544" s="47"/>
    </row>
    <row r="545" spans="1:1" ht="15.75" customHeight="1">
      <c r="A545" s="47"/>
    </row>
    <row r="546" spans="1:1" ht="15.75" customHeight="1">
      <c r="A546" s="47"/>
    </row>
    <row r="547" spans="1:1" ht="15.75" customHeight="1">
      <c r="A547" s="47"/>
    </row>
    <row r="548" spans="1:1" ht="15.75" customHeight="1">
      <c r="A548" s="47"/>
    </row>
    <row r="549" spans="1:1" ht="15.75" customHeight="1">
      <c r="A549" s="47"/>
    </row>
    <row r="550" spans="1:1" ht="15.75" customHeight="1">
      <c r="A550" s="47"/>
    </row>
    <row r="551" spans="1:1" ht="15.75" customHeight="1">
      <c r="A551" s="47"/>
    </row>
    <row r="552" spans="1:1" ht="15.75" customHeight="1">
      <c r="A552" s="47"/>
    </row>
    <row r="553" spans="1:1" ht="15.75" customHeight="1">
      <c r="A553" s="47"/>
    </row>
    <row r="554" spans="1:1" ht="15.75" customHeight="1">
      <c r="A554" s="47"/>
    </row>
    <row r="555" spans="1:1" ht="15.75" customHeight="1">
      <c r="A555" s="47"/>
    </row>
    <row r="556" spans="1:1" ht="15.75" customHeight="1">
      <c r="A556" s="47"/>
    </row>
    <row r="557" spans="1:1" ht="15.75" customHeight="1">
      <c r="A557" s="47"/>
    </row>
    <row r="558" spans="1:1" ht="15.75" customHeight="1">
      <c r="A558" s="47"/>
    </row>
    <row r="559" spans="1:1" ht="15.75" customHeight="1">
      <c r="A559" s="47"/>
    </row>
    <row r="560" spans="1:1" ht="15.75" customHeight="1">
      <c r="A560" s="47"/>
    </row>
    <row r="561" spans="1:1" ht="15.75" customHeight="1">
      <c r="A561" s="47"/>
    </row>
    <row r="562" spans="1:1" ht="15.75" customHeight="1">
      <c r="A562" s="47"/>
    </row>
    <row r="563" spans="1:1" ht="15.75" customHeight="1">
      <c r="A563" s="47"/>
    </row>
    <row r="564" spans="1:1" ht="15.75" customHeight="1">
      <c r="A564" s="47"/>
    </row>
    <row r="565" spans="1:1" ht="15.75" customHeight="1">
      <c r="A565" s="47"/>
    </row>
    <row r="566" spans="1:1" ht="15.75" customHeight="1">
      <c r="A566" s="47"/>
    </row>
    <row r="567" spans="1:1" ht="15.75" customHeight="1">
      <c r="A567" s="47"/>
    </row>
    <row r="568" spans="1:1" ht="15.75" customHeight="1">
      <c r="A568" s="47"/>
    </row>
    <row r="569" spans="1:1" ht="15.75" customHeight="1">
      <c r="A569" s="47"/>
    </row>
    <row r="570" spans="1:1" ht="15.75" customHeight="1">
      <c r="A570" s="47"/>
    </row>
    <row r="571" spans="1:1" ht="15.75" customHeight="1">
      <c r="A571" s="47"/>
    </row>
    <row r="572" spans="1:1" ht="15.75" customHeight="1">
      <c r="A572" s="47"/>
    </row>
    <row r="573" spans="1:1" ht="15.75" customHeight="1">
      <c r="A573" s="47"/>
    </row>
    <row r="574" spans="1:1" ht="15.75" customHeight="1">
      <c r="A574" s="47"/>
    </row>
    <row r="575" spans="1:1" ht="15.75" customHeight="1">
      <c r="A575" s="47"/>
    </row>
    <row r="576" spans="1:1" ht="15.75" customHeight="1">
      <c r="A576" s="47"/>
    </row>
    <row r="577" spans="1:1" ht="15.75" customHeight="1">
      <c r="A577" s="47"/>
    </row>
    <row r="578" spans="1:1" ht="15.75" customHeight="1">
      <c r="A578" s="47"/>
    </row>
    <row r="579" spans="1:1" ht="15.75" customHeight="1">
      <c r="A579" s="47"/>
    </row>
    <row r="580" spans="1:1" ht="15.75" customHeight="1">
      <c r="A580" s="47"/>
    </row>
    <row r="581" spans="1:1" ht="15.75" customHeight="1">
      <c r="A581" s="47"/>
    </row>
    <row r="582" spans="1:1" ht="15.75" customHeight="1">
      <c r="A582" s="47"/>
    </row>
    <row r="583" spans="1:1" ht="15.75" customHeight="1">
      <c r="A583" s="47"/>
    </row>
    <row r="584" spans="1:1" ht="15.75" customHeight="1">
      <c r="A584" s="47"/>
    </row>
    <row r="585" spans="1:1" ht="15.75" customHeight="1">
      <c r="A585" s="47"/>
    </row>
    <row r="586" spans="1:1" ht="15.75" customHeight="1">
      <c r="A586" s="47"/>
    </row>
    <row r="587" spans="1:1" ht="15.75" customHeight="1">
      <c r="A587" s="47"/>
    </row>
    <row r="588" spans="1:1" ht="15.75" customHeight="1">
      <c r="A588" s="47"/>
    </row>
    <row r="589" spans="1:1" ht="15.75" customHeight="1">
      <c r="A589" s="47"/>
    </row>
    <row r="590" spans="1:1" ht="15.75" customHeight="1">
      <c r="A590" s="47"/>
    </row>
    <row r="591" spans="1:1" ht="15.75" customHeight="1">
      <c r="A591" s="47"/>
    </row>
    <row r="592" spans="1:1" ht="15.75" customHeight="1">
      <c r="A592" s="47"/>
    </row>
    <row r="593" spans="1:1" ht="15.75" customHeight="1">
      <c r="A593" s="47"/>
    </row>
    <row r="594" spans="1:1" ht="15.75" customHeight="1">
      <c r="A594" s="47"/>
    </row>
    <row r="595" spans="1:1" ht="15.75" customHeight="1">
      <c r="A595" s="47"/>
    </row>
    <row r="596" spans="1:1" ht="15.75" customHeight="1">
      <c r="A596" s="47"/>
    </row>
    <row r="597" spans="1:1" ht="15.75" customHeight="1">
      <c r="A597" s="47"/>
    </row>
    <row r="598" spans="1:1" ht="15.75" customHeight="1">
      <c r="A598" s="47"/>
    </row>
    <row r="599" spans="1:1" ht="15.75" customHeight="1">
      <c r="A599" s="47"/>
    </row>
    <row r="600" spans="1:1" ht="15.75" customHeight="1">
      <c r="A600" s="47"/>
    </row>
    <row r="601" spans="1:1" ht="15.75" customHeight="1">
      <c r="A601" s="47"/>
    </row>
    <row r="602" spans="1:1" ht="15.75" customHeight="1">
      <c r="A602" s="47"/>
    </row>
    <row r="603" spans="1:1" ht="15.75" customHeight="1">
      <c r="A603" s="47"/>
    </row>
    <row r="604" spans="1:1" ht="15.75" customHeight="1">
      <c r="A604" s="47"/>
    </row>
    <row r="605" spans="1:1" ht="15.75" customHeight="1">
      <c r="A605" s="47"/>
    </row>
    <row r="606" spans="1:1" ht="15.75" customHeight="1">
      <c r="A606" s="47"/>
    </row>
    <row r="607" spans="1:1" ht="15.75" customHeight="1">
      <c r="A607" s="47"/>
    </row>
    <row r="608" spans="1:1" ht="15.75" customHeight="1">
      <c r="A608" s="47"/>
    </row>
    <row r="609" spans="1:1" ht="15.75" customHeight="1">
      <c r="A609" s="47"/>
    </row>
    <row r="610" spans="1:1" ht="15.75" customHeight="1">
      <c r="A610" s="47"/>
    </row>
    <row r="611" spans="1:1" ht="15.75" customHeight="1">
      <c r="A611" s="47"/>
    </row>
    <row r="612" spans="1:1" ht="15.75" customHeight="1">
      <c r="A612" s="47"/>
    </row>
    <row r="613" spans="1:1" ht="15.75" customHeight="1">
      <c r="A613" s="47"/>
    </row>
    <row r="614" spans="1:1" ht="15.75" customHeight="1">
      <c r="A614" s="47"/>
    </row>
    <row r="615" spans="1:1" ht="15.75" customHeight="1">
      <c r="A615" s="47"/>
    </row>
    <row r="616" spans="1:1" ht="15.75" customHeight="1">
      <c r="A616" s="47"/>
    </row>
    <row r="617" spans="1:1" ht="15.75" customHeight="1">
      <c r="A617" s="47"/>
    </row>
    <row r="618" spans="1:1" ht="15.75" customHeight="1">
      <c r="A618" s="47"/>
    </row>
    <row r="619" spans="1:1" ht="15.75" customHeight="1">
      <c r="A619" s="47"/>
    </row>
    <row r="620" spans="1:1" ht="15.75" customHeight="1">
      <c r="A620" s="47"/>
    </row>
    <row r="621" spans="1:1" ht="15.75" customHeight="1">
      <c r="A621" s="47"/>
    </row>
    <row r="622" spans="1:1" ht="15.75" customHeight="1">
      <c r="A622" s="47"/>
    </row>
    <row r="623" spans="1:1" ht="15.75" customHeight="1">
      <c r="A623" s="47"/>
    </row>
    <row r="624" spans="1:1" ht="15.75" customHeight="1">
      <c r="A624" s="47"/>
    </row>
    <row r="625" spans="1:1" ht="15.75" customHeight="1">
      <c r="A625" s="47"/>
    </row>
    <row r="626" spans="1:1" ht="15.75" customHeight="1">
      <c r="A626" s="47"/>
    </row>
    <row r="627" spans="1:1" ht="15.75" customHeight="1">
      <c r="A627" s="47"/>
    </row>
    <row r="628" spans="1:1" ht="15.75" customHeight="1">
      <c r="A628" s="47"/>
    </row>
    <row r="629" spans="1:1" ht="15.75" customHeight="1">
      <c r="A629" s="47"/>
    </row>
    <row r="630" spans="1:1" ht="15.75" customHeight="1">
      <c r="A630" s="47"/>
    </row>
    <row r="631" spans="1:1" ht="15.75" customHeight="1">
      <c r="A631" s="47"/>
    </row>
    <row r="632" spans="1:1" ht="15.75" customHeight="1">
      <c r="A632" s="47"/>
    </row>
    <row r="633" spans="1:1" ht="15.75" customHeight="1">
      <c r="A633" s="47"/>
    </row>
    <row r="634" spans="1:1" ht="15.75" customHeight="1">
      <c r="A634" s="47"/>
    </row>
    <row r="635" spans="1:1" ht="15.75" customHeight="1">
      <c r="A635" s="47"/>
    </row>
    <row r="636" spans="1:1" ht="15.75" customHeight="1">
      <c r="A636" s="47"/>
    </row>
    <row r="637" spans="1:1" ht="15.75" customHeight="1">
      <c r="A637" s="47"/>
    </row>
    <row r="638" spans="1:1" ht="15.75" customHeight="1">
      <c r="A638" s="47"/>
    </row>
    <row r="639" spans="1:1" ht="15.75" customHeight="1">
      <c r="A639" s="47"/>
    </row>
    <row r="640" spans="1:1" ht="15.75" customHeight="1">
      <c r="A640" s="47"/>
    </row>
    <row r="641" spans="1:1" ht="15.75" customHeight="1">
      <c r="A641" s="47"/>
    </row>
    <row r="642" spans="1:1" ht="15.75" customHeight="1">
      <c r="A642" s="47"/>
    </row>
    <row r="643" spans="1:1" ht="15.75" customHeight="1">
      <c r="A643" s="47"/>
    </row>
    <row r="644" spans="1:1" ht="15.75" customHeight="1">
      <c r="A644" s="47"/>
    </row>
    <row r="645" spans="1:1" ht="15.75" customHeight="1">
      <c r="A645" s="47"/>
    </row>
    <row r="646" spans="1:1" ht="15.75" customHeight="1">
      <c r="A646" s="47"/>
    </row>
    <row r="647" spans="1:1" ht="15.75" customHeight="1">
      <c r="A647" s="47"/>
    </row>
    <row r="648" spans="1:1" ht="15.75" customHeight="1">
      <c r="A648" s="47"/>
    </row>
    <row r="649" spans="1:1" ht="15.75" customHeight="1">
      <c r="A649" s="47"/>
    </row>
    <row r="650" spans="1:1" ht="15.75" customHeight="1">
      <c r="A650" s="47"/>
    </row>
    <row r="651" spans="1:1" ht="15.75" customHeight="1">
      <c r="A651" s="47"/>
    </row>
    <row r="652" spans="1:1" ht="15.75" customHeight="1">
      <c r="A652" s="47"/>
    </row>
    <row r="653" spans="1:1" ht="15.75" customHeight="1">
      <c r="A653" s="47"/>
    </row>
    <row r="654" spans="1:1" ht="15.75" customHeight="1">
      <c r="A654" s="47"/>
    </row>
    <row r="655" spans="1:1" ht="15.75" customHeight="1">
      <c r="A655" s="47"/>
    </row>
    <row r="656" spans="1:1" ht="15.75" customHeight="1">
      <c r="A656" s="47"/>
    </row>
    <row r="657" spans="1:1" ht="15.75" customHeight="1">
      <c r="A657" s="47"/>
    </row>
    <row r="658" spans="1:1" ht="15.75" customHeight="1">
      <c r="A658" s="47"/>
    </row>
    <row r="659" spans="1:1" ht="15.75" customHeight="1">
      <c r="A659" s="47"/>
    </row>
    <row r="660" spans="1:1" ht="15.75" customHeight="1">
      <c r="A660" s="47"/>
    </row>
    <row r="661" spans="1:1" ht="15.75" customHeight="1">
      <c r="A661" s="47"/>
    </row>
    <row r="662" spans="1:1" ht="15.75" customHeight="1">
      <c r="A662" s="47"/>
    </row>
    <row r="663" spans="1:1" ht="15.75" customHeight="1">
      <c r="A663" s="47"/>
    </row>
    <row r="664" spans="1:1" ht="15.75" customHeight="1">
      <c r="A664" s="47"/>
    </row>
    <row r="665" spans="1:1" ht="15.75" customHeight="1">
      <c r="A665" s="47"/>
    </row>
    <row r="666" spans="1:1" ht="15.75" customHeight="1">
      <c r="A666" s="47"/>
    </row>
    <row r="667" spans="1:1" ht="15.75" customHeight="1">
      <c r="A667" s="47"/>
    </row>
    <row r="668" spans="1:1" ht="15.75" customHeight="1">
      <c r="A668" s="47"/>
    </row>
    <row r="669" spans="1:1" ht="15.75" customHeight="1">
      <c r="A669" s="47"/>
    </row>
    <row r="670" spans="1:1" ht="15.75" customHeight="1">
      <c r="A670" s="47"/>
    </row>
    <row r="671" spans="1:1" ht="15.75" customHeight="1">
      <c r="A671" s="47"/>
    </row>
    <row r="672" spans="1:1" ht="15.75" customHeight="1">
      <c r="A672" s="47"/>
    </row>
    <row r="673" spans="1:1" ht="15.75" customHeight="1">
      <c r="A673" s="47"/>
    </row>
    <row r="674" spans="1:1" ht="15.75" customHeight="1">
      <c r="A674" s="47"/>
    </row>
    <row r="675" spans="1:1" ht="15.75" customHeight="1">
      <c r="A675" s="47"/>
    </row>
    <row r="676" spans="1:1" ht="15.75" customHeight="1">
      <c r="A676" s="47"/>
    </row>
    <row r="677" spans="1:1" ht="15.75" customHeight="1">
      <c r="A677" s="47"/>
    </row>
    <row r="678" spans="1:1" ht="15.75" customHeight="1">
      <c r="A678" s="47"/>
    </row>
    <row r="679" spans="1:1" ht="15.75" customHeight="1">
      <c r="A679" s="47"/>
    </row>
    <row r="680" spans="1:1" ht="15.75" customHeight="1">
      <c r="A680" s="47"/>
    </row>
    <row r="681" spans="1:1" ht="15.75" customHeight="1">
      <c r="A681" s="47"/>
    </row>
    <row r="682" spans="1:1" ht="15.75" customHeight="1">
      <c r="A682" s="47"/>
    </row>
    <row r="683" spans="1:1" ht="15.75" customHeight="1">
      <c r="A683" s="47"/>
    </row>
    <row r="684" spans="1:1" ht="15.75" customHeight="1">
      <c r="A684" s="47"/>
    </row>
    <row r="685" spans="1:1" ht="15.75" customHeight="1">
      <c r="A685" s="47"/>
    </row>
    <row r="686" spans="1:1" ht="15.75" customHeight="1">
      <c r="A686" s="47"/>
    </row>
    <row r="687" spans="1:1" ht="15.75" customHeight="1">
      <c r="A687" s="47"/>
    </row>
    <row r="688" spans="1:1" ht="15.75" customHeight="1">
      <c r="A688" s="47"/>
    </row>
    <row r="689" spans="1:1" ht="15.75" customHeight="1">
      <c r="A689" s="47"/>
    </row>
    <row r="690" spans="1:1" ht="15.75" customHeight="1">
      <c r="A690" s="47"/>
    </row>
    <row r="691" spans="1:1" ht="15.75" customHeight="1">
      <c r="A691" s="47"/>
    </row>
    <row r="692" spans="1:1" ht="15.75" customHeight="1">
      <c r="A692" s="47"/>
    </row>
    <row r="693" spans="1:1" ht="15.75" customHeight="1">
      <c r="A693" s="47"/>
    </row>
    <row r="694" spans="1:1" ht="15.75" customHeight="1">
      <c r="A694" s="47"/>
    </row>
    <row r="695" spans="1:1" ht="15.75" customHeight="1">
      <c r="A695" s="47"/>
    </row>
    <row r="696" spans="1:1" ht="15.75" customHeight="1">
      <c r="A696" s="47"/>
    </row>
    <row r="697" spans="1:1" ht="15.75" customHeight="1">
      <c r="A697" s="47"/>
    </row>
    <row r="698" spans="1:1" ht="15.75" customHeight="1">
      <c r="A698" s="47"/>
    </row>
    <row r="699" spans="1:1" ht="15.75" customHeight="1">
      <c r="A699" s="47"/>
    </row>
    <row r="700" spans="1:1" ht="15.75" customHeight="1">
      <c r="A700" s="47"/>
    </row>
    <row r="701" spans="1:1" ht="15.75" customHeight="1">
      <c r="A701" s="47"/>
    </row>
    <row r="702" spans="1:1" ht="15.75" customHeight="1">
      <c r="A702" s="47"/>
    </row>
    <row r="703" spans="1:1" ht="15.75" customHeight="1">
      <c r="A703" s="47"/>
    </row>
    <row r="704" spans="1:1" ht="15.75" customHeight="1">
      <c r="A704" s="47"/>
    </row>
    <row r="705" spans="1:1" ht="15.75" customHeight="1">
      <c r="A705" s="47"/>
    </row>
    <row r="706" spans="1:1" ht="15.75" customHeight="1">
      <c r="A706" s="47"/>
    </row>
    <row r="707" spans="1:1" ht="15.75" customHeight="1">
      <c r="A707" s="47"/>
    </row>
    <row r="708" spans="1:1" ht="15.75" customHeight="1">
      <c r="A708" s="47"/>
    </row>
    <row r="709" spans="1:1" ht="15.75" customHeight="1">
      <c r="A709" s="47"/>
    </row>
    <row r="710" spans="1:1" ht="15.75" customHeight="1">
      <c r="A710" s="47"/>
    </row>
    <row r="711" spans="1:1" ht="15.75" customHeight="1">
      <c r="A711" s="47"/>
    </row>
    <row r="712" spans="1:1" ht="15.75" customHeight="1">
      <c r="A712" s="47"/>
    </row>
    <row r="713" spans="1:1" ht="15.75" customHeight="1">
      <c r="A713" s="47"/>
    </row>
    <row r="714" spans="1:1" ht="15.75" customHeight="1">
      <c r="A714" s="47"/>
    </row>
    <row r="715" spans="1:1" ht="15.75" customHeight="1">
      <c r="A715" s="47"/>
    </row>
    <row r="716" spans="1:1" ht="15.75" customHeight="1">
      <c r="A716" s="47"/>
    </row>
    <row r="717" spans="1:1" ht="15.75" customHeight="1">
      <c r="A717" s="47"/>
    </row>
    <row r="718" spans="1:1" ht="15.75" customHeight="1">
      <c r="A718" s="47"/>
    </row>
    <row r="719" spans="1:1" ht="15.75" customHeight="1">
      <c r="A719" s="47"/>
    </row>
    <row r="720" spans="1:1" ht="15.75" customHeight="1">
      <c r="A720" s="47"/>
    </row>
    <row r="721" spans="1:1" ht="15.75" customHeight="1">
      <c r="A721" s="47"/>
    </row>
    <row r="722" spans="1:1" ht="15.75" customHeight="1">
      <c r="A722" s="47"/>
    </row>
    <row r="723" spans="1:1" ht="15.75" customHeight="1">
      <c r="A723" s="47"/>
    </row>
    <row r="724" spans="1:1" ht="15.75" customHeight="1">
      <c r="A724" s="47"/>
    </row>
    <row r="725" spans="1:1" ht="15.75" customHeight="1">
      <c r="A725" s="47"/>
    </row>
    <row r="726" spans="1:1" ht="15.75" customHeight="1">
      <c r="A726" s="47"/>
    </row>
    <row r="727" spans="1:1" ht="15.75" customHeight="1">
      <c r="A727" s="47"/>
    </row>
    <row r="728" spans="1:1" ht="15.75" customHeight="1">
      <c r="A728" s="47"/>
    </row>
    <row r="729" spans="1:1" ht="15.75" customHeight="1">
      <c r="A729" s="47"/>
    </row>
    <row r="730" spans="1:1" ht="15.75" customHeight="1">
      <c r="A730" s="47"/>
    </row>
    <row r="731" spans="1:1" ht="15.75" customHeight="1">
      <c r="A731" s="47"/>
    </row>
    <row r="732" spans="1:1" ht="15.75" customHeight="1">
      <c r="A732" s="47"/>
    </row>
    <row r="733" spans="1:1" ht="15.75" customHeight="1">
      <c r="A733" s="47"/>
    </row>
    <row r="734" spans="1:1" ht="15.75" customHeight="1">
      <c r="A734" s="47"/>
    </row>
    <row r="735" spans="1:1" ht="15.75" customHeight="1">
      <c r="A735" s="47"/>
    </row>
    <row r="736" spans="1:1" ht="15.75" customHeight="1">
      <c r="A736" s="47"/>
    </row>
    <row r="737" spans="1:1" ht="15.75" customHeight="1">
      <c r="A737" s="47"/>
    </row>
    <row r="738" spans="1:1" ht="15.75" customHeight="1">
      <c r="A738" s="47"/>
    </row>
    <row r="739" spans="1:1" ht="15.75" customHeight="1">
      <c r="A739" s="47"/>
    </row>
    <row r="740" spans="1:1" ht="15.75" customHeight="1">
      <c r="A740" s="47"/>
    </row>
    <row r="741" spans="1:1" ht="15.75" customHeight="1">
      <c r="A741" s="47"/>
    </row>
    <row r="742" spans="1:1" ht="15.75" customHeight="1">
      <c r="A742" s="47"/>
    </row>
    <row r="743" spans="1:1" ht="15.75" customHeight="1">
      <c r="A743" s="47"/>
    </row>
    <row r="744" spans="1:1" ht="15.75" customHeight="1">
      <c r="A744" s="47"/>
    </row>
    <row r="745" spans="1:1" ht="15.75" customHeight="1">
      <c r="A745" s="47"/>
    </row>
    <row r="746" spans="1:1" ht="15.75" customHeight="1">
      <c r="A746" s="47"/>
    </row>
    <row r="747" spans="1:1" ht="15.75" customHeight="1">
      <c r="A747" s="47"/>
    </row>
    <row r="748" spans="1:1" ht="15.75" customHeight="1">
      <c r="A748" s="47"/>
    </row>
    <row r="749" spans="1:1" ht="15.75" customHeight="1">
      <c r="A749" s="47"/>
    </row>
    <row r="750" spans="1:1" ht="15.75" customHeight="1">
      <c r="A750" s="47"/>
    </row>
    <row r="751" spans="1:1" ht="15.75" customHeight="1">
      <c r="A751" s="47"/>
    </row>
    <row r="752" spans="1:1" ht="15.75" customHeight="1">
      <c r="A752" s="47"/>
    </row>
    <row r="753" spans="1:1" ht="15.75" customHeight="1">
      <c r="A753" s="47"/>
    </row>
    <row r="754" spans="1:1" ht="15.75" customHeight="1">
      <c r="A754" s="47"/>
    </row>
    <row r="755" spans="1:1" ht="15.75" customHeight="1">
      <c r="A755" s="47"/>
    </row>
    <row r="756" spans="1:1" ht="15.75" customHeight="1">
      <c r="A756" s="47"/>
    </row>
    <row r="757" spans="1:1" ht="15.75" customHeight="1">
      <c r="A757" s="47"/>
    </row>
    <row r="758" spans="1:1" ht="15.75" customHeight="1">
      <c r="A758" s="47"/>
    </row>
    <row r="759" spans="1:1" ht="15.75" customHeight="1">
      <c r="A759" s="47"/>
    </row>
    <row r="760" spans="1:1" ht="15.75" customHeight="1">
      <c r="A760" s="47"/>
    </row>
    <row r="761" spans="1:1" ht="15.75" customHeight="1">
      <c r="A761" s="47"/>
    </row>
    <row r="762" spans="1:1" ht="15.75" customHeight="1">
      <c r="A762" s="47"/>
    </row>
    <row r="763" spans="1:1" ht="15.75" customHeight="1">
      <c r="A763" s="47"/>
    </row>
    <row r="764" spans="1:1" ht="15.75" customHeight="1">
      <c r="A764" s="47"/>
    </row>
    <row r="765" spans="1:1" ht="15.75" customHeight="1">
      <c r="A765" s="47"/>
    </row>
    <row r="766" spans="1:1" ht="15.75" customHeight="1">
      <c r="A766" s="47"/>
    </row>
    <row r="767" spans="1:1" ht="15.75" customHeight="1">
      <c r="A767" s="47"/>
    </row>
    <row r="768" spans="1:1" ht="15.75" customHeight="1">
      <c r="A768" s="47"/>
    </row>
    <row r="769" spans="1:1" ht="15.75" customHeight="1">
      <c r="A769" s="47"/>
    </row>
    <row r="770" spans="1:1" ht="15.75" customHeight="1">
      <c r="A770" s="47"/>
    </row>
    <row r="771" spans="1:1" ht="15.75" customHeight="1">
      <c r="A771" s="47"/>
    </row>
    <row r="772" spans="1:1" ht="15.75" customHeight="1">
      <c r="A772" s="47"/>
    </row>
    <row r="773" spans="1:1" ht="15.75" customHeight="1">
      <c r="A773" s="47"/>
    </row>
    <row r="774" spans="1:1" ht="15.75" customHeight="1">
      <c r="A774" s="47"/>
    </row>
    <row r="775" spans="1:1" ht="15.75" customHeight="1">
      <c r="A775" s="47"/>
    </row>
    <row r="776" spans="1:1" ht="15.75" customHeight="1">
      <c r="A776" s="47"/>
    </row>
    <row r="777" spans="1:1" ht="15.75" customHeight="1">
      <c r="A777" s="47"/>
    </row>
    <row r="778" spans="1:1" ht="15.75" customHeight="1">
      <c r="A778" s="47"/>
    </row>
    <row r="779" spans="1:1" ht="15.75" customHeight="1">
      <c r="A779" s="47"/>
    </row>
    <row r="780" spans="1:1" ht="15.75" customHeight="1">
      <c r="A780" s="47"/>
    </row>
    <row r="781" spans="1:1" ht="15.75" customHeight="1">
      <c r="A781" s="47"/>
    </row>
    <row r="782" spans="1:1" ht="15.75" customHeight="1">
      <c r="A782" s="47"/>
    </row>
    <row r="783" spans="1:1" ht="15.75" customHeight="1">
      <c r="A783" s="47"/>
    </row>
    <row r="784" spans="1:1" ht="15.75" customHeight="1">
      <c r="A784" s="47"/>
    </row>
    <row r="785" spans="1:1" ht="15.75" customHeight="1">
      <c r="A785" s="47"/>
    </row>
    <row r="786" spans="1:1" ht="15.75" customHeight="1">
      <c r="A786" s="47"/>
    </row>
    <row r="787" spans="1:1" ht="15.75" customHeight="1">
      <c r="A787" s="47"/>
    </row>
    <row r="788" spans="1:1" ht="15.75" customHeight="1">
      <c r="A788" s="47"/>
    </row>
    <row r="789" spans="1:1" ht="15.75" customHeight="1">
      <c r="A789" s="47"/>
    </row>
    <row r="790" spans="1:1" ht="15.75" customHeight="1">
      <c r="A790" s="47"/>
    </row>
    <row r="791" spans="1:1" ht="15.75" customHeight="1">
      <c r="A791" s="47"/>
    </row>
    <row r="792" spans="1:1" ht="15.75" customHeight="1">
      <c r="A792" s="47"/>
    </row>
    <row r="793" spans="1:1" ht="15.75" customHeight="1">
      <c r="A793" s="47"/>
    </row>
    <row r="794" spans="1:1" ht="15.75" customHeight="1">
      <c r="A794" s="47"/>
    </row>
    <row r="795" spans="1:1" ht="15.75" customHeight="1">
      <c r="A795" s="47"/>
    </row>
    <row r="796" spans="1:1" ht="15.75" customHeight="1">
      <c r="A796" s="47"/>
    </row>
    <row r="797" spans="1:1" ht="15.75" customHeight="1">
      <c r="A797" s="47"/>
    </row>
    <row r="798" spans="1:1" ht="15.75" customHeight="1">
      <c r="A798" s="47"/>
    </row>
    <row r="799" spans="1:1" ht="15.75" customHeight="1">
      <c r="A799" s="47"/>
    </row>
    <row r="800" spans="1:1" ht="15.75" customHeight="1">
      <c r="A800" s="47"/>
    </row>
    <row r="801" spans="1:1" ht="15.75" customHeight="1">
      <c r="A801" s="47"/>
    </row>
    <row r="802" spans="1:1" ht="15.75" customHeight="1">
      <c r="A802" s="47"/>
    </row>
    <row r="803" spans="1:1" ht="15.75" customHeight="1">
      <c r="A803" s="47"/>
    </row>
    <row r="804" spans="1:1" ht="15.75" customHeight="1">
      <c r="A804" s="47"/>
    </row>
    <row r="805" spans="1:1" ht="15.75" customHeight="1">
      <c r="A805" s="47"/>
    </row>
    <row r="806" spans="1:1" ht="15.75" customHeight="1">
      <c r="A806" s="47"/>
    </row>
    <row r="807" spans="1:1" ht="15.75" customHeight="1">
      <c r="A807" s="47"/>
    </row>
    <row r="808" spans="1:1" ht="15.75" customHeight="1">
      <c r="A808" s="47"/>
    </row>
    <row r="809" spans="1:1" ht="15.75" customHeight="1">
      <c r="A809" s="47"/>
    </row>
    <row r="810" spans="1:1" ht="15.75" customHeight="1">
      <c r="A810" s="47"/>
    </row>
    <row r="811" spans="1:1" ht="15.75" customHeight="1">
      <c r="A811" s="47"/>
    </row>
    <row r="812" spans="1:1" ht="15.75" customHeight="1">
      <c r="A812" s="47"/>
    </row>
    <row r="813" spans="1:1" ht="15.75" customHeight="1">
      <c r="A813" s="47"/>
    </row>
    <row r="814" spans="1:1" ht="15.75" customHeight="1">
      <c r="A814" s="47"/>
    </row>
    <row r="815" spans="1:1" ht="15.75" customHeight="1">
      <c r="A815" s="47"/>
    </row>
    <row r="816" spans="1:1" ht="15.75" customHeight="1">
      <c r="A816" s="47"/>
    </row>
    <row r="817" spans="1:1" ht="15.75" customHeight="1">
      <c r="A817" s="47"/>
    </row>
    <row r="818" spans="1:1" ht="15.75" customHeight="1">
      <c r="A818" s="47"/>
    </row>
    <row r="819" spans="1:1" ht="15.75" customHeight="1">
      <c r="A819" s="47"/>
    </row>
    <row r="820" spans="1:1" ht="15.75" customHeight="1">
      <c r="A820" s="47"/>
    </row>
    <row r="821" spans="1:1" ht="15.75" customHeight="1">
      <c r="A821" s="47"/>
    </row>
    <row r="822" spans="1:1" ht="15.75" customHeight="1">
      <c r="A822" s="47"/>
    </row>
    <row r="823" spans="1:1" ht="15.75" customHeight="1">
      <c r="A823" s="47"/>
    </row>
    <row r="824" spans="1:1" ht="15.75" customHeight="1">
      <c r="A824" s="47"/>
    </row>
    <row r="825" spans="1:1" ht="15.75" customHeight="1">
      <c r="A825" s="47"/>
    </row>
    <row r="826" spans="1:1" ht="15.75" customHeight="1">
      <c r="A826" s="47"/>
    </row>
    <row r="827" spans="1:1" ht="15.75" customHeight="1">
      <c r="A827" s="47"/>
    </row>
    <row r="828" spans="1:1" ht="15.75" customHeight="1">
      <c r="A828" s="47"/>
    </row>
    <row r="829" spans="1:1" ht="15.75" customHeight="1">
      <c r="A829" s="47"/>
    </row>
    <row r="830" spans="1:1" ht="15.75" customHeight="1">
      <c r="A830" s="47"/>
    </row>
    <row r="831" spans="1:1" ht="15.75" customHeight="1">
      <c r="A831" s="47"/>
    </row>
    <row r="832" spans="1:1" ht="15.75" customHeight="1">
      <c r="A832" s="47"/>
    </row>
    <row r="833" spans="1:1" ht="15.75" customHeight="1">
      <c r="A833" s="47"/>
    </row>
    <row r="834" spans="1:1" ht="15.75" customHeight="1">
      <c r="A834" s="47"/>
    </row>
    <row r="835" spans="1:1" ht="15.75" customHeight="1">
      <c r="A835" s="47"/>
    </row>
    <row r="836" spans="1:1" ht="15.75" customHeight="1">
      <c r="A836" s="47"/>
    </row>
    <row r="837" spans="1:1" ht="15.75" customHeight="1">
      <c r="A837" s="47"/>
    </row>
    <row r="838" spans="1:1" ht="15.75" customHeight="1">
      <c r="A838" s="47"/>
    </row>
    <row r="839" spans="1:1" ht="15.75" customHeight="1">
      <c r="A839" s="47"/>
    </row>
    <row r="840" spans="1:1" ht="15.75" customHeight="1">
      <c r="A840" s="47"/>
    </row>
    <row r="841" spans="1:1" ht="15.75" customHeight="1">
      <c r="A841" s="47"/>
    </row>
    <row r="842" spans="1:1" ht="15.75" customHeight="1">
      <c r="A842" s="47"/>
    </row>
    <row r="843" spans="1:1" ht="15.75" customHeight="1">
      <c r="A843" s="47"/>
    </row>
    <row r="844" spans="1:1" ht="15.75" customHeight="1">
      <c r="A844" s="47"/>
    </row>
    <row r="845" spans="1:1" ht="15.75" customHeight="1">
      <c r="A845" s="47"/>
    </row>
    <row r="846" spans="1:1" ht="15.75" customHeight="1">
      <c r="A846" s="47"/>
    </row>
    <row r="847" spans="1:1" ht="15.75" customHeight="1">
      <c r="A847" s="47"/>
    </row>
    <row r="848" spans="1:1" ht="15.75" customHeight="1">
      <c r="A848" s="47"/>
    </row>
    <row r="849" spans="1:1" ht="15.75" customHeight="1">
      <c r="A849" s="47"/>
    </row>
    <row r="850" spans="1:1" ht="15.75" customHeight="1">
      <c r="A850" s="47"/>
    </row>
    <row r="851" spans="1:1" ht="15.75" customHeight="1">
      <c r="A851" s="47"/>
    </row>
    <row r="852" spans="1:1" ht="15.75" customHeight="1">
      <c r="A852" s="47"/>
    </row>
    <row r="853" spans="1:1" ht="15.75" customHeight="1">
      <c r="A853" s="47"/>
    </row>
    <row r="854" spans="1:1" ht="15.75" customHeight="1">
      <c r="A854" s="47"/>
    </row>
    <row r="855" spans="1:1" ht="15.75" customHeight="1">
      <c r="A855" s="47"/>
    </row>
    <row r="856" spans="1:1" ht="15.75" customHeight="1">
      <c r="A856" s="47"/>
    </row>
    <row r="857" spans="1:1" ht="15.75" customHeight="1">
      <c r="A857" s="47"/>
    </row>
    <row r="858" spans="1:1" ht="15.75" customHeight="1">
      <c r="A858" s="47"/>
    </row>
    <row r="859" spans="1:1" ht="15.75" customHeight="1">
      <c r="A859" s="47"/>
    </row>
    <row r="860" spans="1:1" ht="15.75" customHeight="1">
      <c r="A860" s="47"/>
    </row>
    <row r="861" spans="1:1" ht="15.75" customHeight="1">
      <c r="A861" s="47"/>
    </row>
    <row r="862" spans="1:1" ht="15.75" customHeight="1">
      <c r="A862" s="47"/>
    </row>
    <row r="863" spans="1:1" ht="15.75" customHeight="1">
      <c r="A863" s="47"/>
    </row>
    <row r="864" spans="1:1" ht="15.75" customHeight="1">
      <c r="A864" s="47"/>
    </row>
    <row r="865" spans="1:1" ht="15.75" customHeight="1">
      <c r="A865" s="47"/>
    </row>
    <row r="866" spans="1:1" ht="15.75" customHeight="1">
      <c r="A866" s="47"/>
    </row>
    <row r="867" spans="1:1" ht="15.75" customHeight="1">
      <c r="A867" s="47"/>
    </row>
    <row r="868" spans="1:1" ht="15.75" customHeight="1">
      <c r="A868" s="47"/>
    </row>
    <row r="869" spans="1:1" ht="15.75" customHeight="1">
      <c r="A869" s="47"/>
    </row>
    <row r="870" spans="1:1" ht="15.75" customHeight="1">
      <c r="A870" s="47"/>
    </row>
    <row r="871" spans="1:1" ht="15.75" customHeight="1">
      <c r="A871" s="47"/>
    </row>
    <row r="872" spans="1:1" ht="15.75" customHeight="1">
      <c r="A872" s="47"/>
    </row>
    <row r="873" spans="1:1" ht="15.75" customHeight="1">
      <c r="A873" s="47"/>
    </row>
    <row r="874" spans="1:1" ht="15.75" customHeight="1">
      <c r="A874" s="47"/>
    </row>
    <row r="875" spans="1:1" ht="15.75" customHeight="1">
      <c r="A875" s="47"/>
    </row>
    <row r="876" spans="1:1" ht="15.75" customHeight="1">
      <c r="A876" s="47"/>
    </row>
    <row r="877" spans="1:1" ht="15.75" customHeight="1">
      <c r="A877" s="47"/>
    </row>
    <row r="878" spans="1:1" ht="15.75" customHeight="1">
      <c r="A878" s="47"/>
    </row>
    <row r="879" spans="1:1" ht="15.75" customHeight="1">
      <c r="A879" s="47"/>
    </row>
    <row r="880" spans="1:1" ht="15.75" customHeight="1">
      <c r="A880" s="47"/>
    </row>
    <row r="881" spans="1:1" ht="15.75" customHeight="1">
      <c r="A881" s="47"/>
    </row>
    <row r="882" spans="1:1" ht="15.75" customHeight="1">
      <c r="A882" s="47"/>
    </row>
    <row r="883" spans="1:1" ht="15.75" customHeight="1">
      <c r="A883" s="47"/>
    </row>
    <row r="884" spans="1:1" ht="15.75" customHeight="1">
      <c r="A884" s="47"/>
    </row>
    <row r="885" spans="1:1" ht="15.75" customHeight="1">
      <c r="A885" s="47"/>
    </row>
    <row r="886" spans="1:1" ht="15.75" customHeight="1">
      <c r="A886" s="47"/>
    </row>
    <row r="887" spans="1:1" ht="15.75" customHeight="1">
      <c r="A887" s="47"/>
    </row>
    <row r="888" spans="1:1" ht="15.75" customHeight="1">
      <c r="A888" s="47"/>
    </row>
    <row r="889" spans="1:1" ht="15.75" customHeight="1">
      <c r="A889" s="47"/>
    </row>
    <row r="890" spans="1:1" ht="15.75" customHeight="1">
      <c r="A890" s="47"/>
    </row>
    <row r="891" spans="1:1" ht="15.75" customHeight="1">
      <c r="A891" s="47"/>
    </row>
    <row r="892" spans="1:1" ht="15.75" customHeight="1">
      <c r="A892" s="47"/>
    </row>
    <row r="893" spans="1:1" ht="15.75" customHeight="1">
      <c r="A893" s="47"/>
    </row>
    <row r="894" spans="1:1" ht="15.75" customHeight="1">
      <c r="A894" s="47"/>
    </row>
    <row r="895" spans="1:1" ht="15.75" customHeight="1">
      <c r="A895" s="47"/>
    </row>
    <row r="896" spans="1:1" ht="15.75" customHeight="1">
      <c r="A896" s="47"/>
    </row>
    <row r="897" spans="1:1" ht="15.75" customHeight="1">
      <c r="A897" s="47"/>
    </row>
    <row r="898" spans="1:1" ht="15.75" customHeight="1">
      <c r="A898" s="47"/>
    </row>
    <row r="899" spans="1:1" ht="15.75" customHeight="1">
      <c r="A899" s="47"/>
    </row>
    <row r="900" spans="1:1" ht="15.75" customHeight="1">
      <c r="A900" s="47"/>
    </row>
    <row r="901" spans="1:1" ht="15.75" customHeight="1">
      <c r="A901" s="47"/>
    </row>
    <row r="902" spans="1:1" ht="15.75" customHeight="1">
      <c r="A902" s="47"/>
    </row>
    <row r="903" spans="1:1" ht="15.75" customHeight="1">
      <c r="A903" s="47"/>
    </row>
    <row r="904" spans="1:1" ht="15.75" customHeight="1">
      <c r="A904" s="47"/>
    </row>
    <row r="905" spans="1:1" ht="15.75" customHeight="1">
      <c r="A905" s="47"/>
    </row>
    <row r="906" spans="1:1" ht="15.75" customHeight="1">
      <c r="A906" s="47"/>
    </row>
    <row r="907" spans="1:1" ht="15.75" customHeight="1">
      <c r="A907" s="47"/>
    </row>
    <row r="908" spans="1:1" ht="15.75" customHeight="1">
      <c r="A908" s="47"/>
    </row>
    <row r="909" spans="1:1" ht="15.75" customHeight="1">
      <c r="A909" s="47"/>
    </row>
    <row r="910" spans="1:1" ht="15.75" customHeight="1">
      <c r="A910" s="47"/>
    </row>
    <row r="911" spans="1:1" ht="15.75" customHeight="1">
      <c r="A911" s="47"/>
    </row>
    <row r="912" spans="1:1" ht="15.75" customHeight="1">
      <c r="A912" s="47"/>
    </row>
    <row r="913" spans="1:1" ht="15.75" customHeight="1">
      <c r="A913" s="47"/>
    </row>
    <row r="914" spans="1:1" ht="15.75" customHeight="1">
      <c r="A914" s="47"/>
    </row>
    <row r="915" spans="1:1" ht="15.75" customHeight="1">
      <c r="A915" s="47"/>
    </row>
    <row r="916" spans="1:1" ht="15.75" customHeight="1">
      <c r="A916" s="47"/>
    </row>
    <row r="917" spans="1:1" ht="15.75" customHeight="1">
      <c r="A917" s="47"/>
    </row>
    <row r="918" spans="1:1" ht="15.75" customHeight="1">
      <c r="A918" s="47"/>
    </row>
    <row r="919" spans="1:1" ht="15.75" customHeight="1">
      <c r="A919" s="47"/>
    </row>
    <row r="920" spans="1:1" ht="15.75" customHeight="1">
      <c r="A920" s="47"/>
    </row>
    <row r="921" spans="1:1" ht="15.75" customHeight="1">
      <c r="A921" s="47"/>
    </row>
    <row r="922" spans="1:1" ht="15.75" customHeight="1">
      <c r="A922" s="47"/>
    </row>
    <row r="923" spans="1:1" ht="15.75" customHeight="1">
      <c r="A923" s="47"/>
    </row>
    <row r="924" spans="1:1" ht="15.75" customHeight="1">
      <c r="A924" s="47"/>
    </row>
    <row r="925" spans="1:1" ht="15.75" customHeight="1">
      <c r="A925" s="47"/>
    </row>
    <row r="926" spans="1:1" ht="15.75" customHeight="1">
      <c r="A926" s="47"/>
    </row>
    <row r="927" spans="1:1" ht="15.75" customHeight="1">
      <c r="A927" s="47"/>
    </row>
    <row r="928" spans="1:1" ht="15.75" customHeight="1">
      <c r="A928" s="47"/>
    </row>
    <row r="929" spans="1:1" ht="15.75" customHeight="1">
      <c r="A929" s="47"/>
    </row>
    <row r="930" spans="1:1" ht="15.75" customHeight="1">
      <c r="A930" s="47"/>
    </row>
    <row r="931" spans="1:1" ht="15.75" customHeight="1">
      <c r="A931" s="47"/>
    </row>
    <row r="932" spans="1:1" ht="15.75" customHeight="1">
      <c r="A932" s="47"/>
    </row>
    <row r="933" spans="1:1" ht="15.75" customHeight="1">
      <c r="A933" s="47"/>
    </row>
    <row r="934" spans="1:1" ht="15.75" customHeight="1">
      <c r="A934" s="47"/>
    </row>
    <row r="935" spans="1:1" ht="15.75" customHeight="1">
      <c r="A935" s="47"/>
    </row>
    <row r="936" spans="1:1" ht="15.75" customHeight="1">
      <c r="A936" s="47"/>
    </row>
    <row r="937" spans="1:1" ht="15.75" customHeight="1">
      <c r="A937" s="47"/>
    </row>
    <row r="938" spans="1:1" ht="15.75" customHeight="1">
      <c r="A938" s="47"/>
    </row>
    <row r="939" spans="1:1" ht="15.75" customHeight="1">
      <c r="A939" s="47"/>
    </row>
    <row r="940" spans="1:1" ht="15.75" customHeight="1">
      <c r="A940" s="47"/>
    </row>
    <row r="941" spans="1:1" ht="15.75" customHeight="1">
      <c r="A941" s="47"/>
    </row>
    <row r="942" spans="1:1" ht="15.75" customHeight="1">
      <c r="A942" s="47"/>
    </row>
    <row r="943" spans="1:1" ht="15.75" customHeight="1">
      <c r="A943" s="47"/>
    </row>
    <row r="944" spans="1:1" ht="15.75" customHeight="1">
      <c r="A944" s="47"/>
    </row>
    <row r="945" spans="1:1" ht="15.75" customHeight="1">
      <c r="A945" s="47"/>
    </row>
    <row r="946" spans="1:1" ht="15.75" customHeight="1">
      <c r="A946" s="47"/>
    </row>
    <row r="947" spans="1:1" ht="15.75" customHeight="1">
      <c r="A947" s="47"/>
    </row>
    <row r="948" spans="1:1" ht="15.75" customHeight="1">
      <c r="A948" s="47"/>
    </row>
    <row r="949" spans="1:1" ht="15.75" customHeight="1">
      <c r="A949" s="47"/>
    </row>
    <row r="950" spans="1:1" ht="15.75" customHeight="1">
      <c r="A950" s="47"/>
    </row>
    <row r="951" spans="1:1" ht="15.75" customHeight="1">
      <c r="A951" s="47"/>
    </row>
    <row r="952" spans="1:1" ht="15.75" customHeight="1">
      <c r="A952" s="47"/>
    </row>
    <row r="953" spans="1:1" ht="15.75" customHeight="1">
      <c r="A953" s="47"/>
    </row>
    <row r="954" spans="1:1" ht="15.75" customHeight="1">
      <c r="A954" s="47"/>
    </row>
    <row r="955" spans="1:1" ht="15.75" customHeight="1">
      <c r="A955" s="47"/>
    </row>
    <row r="956" spans="1:1" ht="15.75" customHeight="1">
      <c r="A956" s="47"/>
    </row>
    <row r="957" spans="1:1" ht="15.75" customHeight="1">
      <c r="A957" s="47"/>
    </row>
    <row r="958" spans="1:1" ht="15.75" customHeight="1">
      <c r="A958" s="47"/>
    </row>
    <row r="959" spans="1:1" ht="15.75" customHeight="1">
      <c r="A959" s="47"/>
    </row>
    <row r="960" spans="1:1" ht="15.75" customHeight="1">
      <c r="A960" s="47"/>
    </row>
    <row r="961" spans="1:1" ht="15.75" customHeight="1">
      <c r="A961" s="47"/>
    </row>
    <row r="962" spans="1:1" ht="15.75" customHeight="1">
      <c r="A962" s="47"/>
    </row>
    <row r="963" spans="1:1" ht="15.75" customHeight="1">
      <c r="A963" s="47"/>
    </row>
    <row r="964" spans="1:1" ht="15.75" customHeight="1">
      <c r="A964" s="47"/>
    </row>
    <row r="965" spans="1:1" ht="15.75" customHeight="1">
      <c r="A965" s="47"/>
    </row>
    <row r="966" spans="1:1" ht="15.75" customHeight="1">
      <c r="A966" s="47"/>
    </row>
    <row r="967" spans="1:1" ht="15.75" customHeight="1">
      <c r="A967" s="47"/>
    </row>
    <row r="968" spans="1:1" ht="15.75" customHeight="1">
      <c r="A968" s="47"/>
    </row>
    <row r="969" spans="1:1" ht="15.75" customHeight="1">
      <c r="A969" s="47"/>
    </row>
    <row r="970" spans="1:1" ht="15.75" customHeight="1">
      <c r="A970" s="47"/>
    </row>
    <row r="971" spans="1:1" ht="15.75" customHeight="1">
      <c r="A971" s="47"/>
    </row>
    <row r="972" spans="1:1" ht="15.75" customHeight="1">
      <c r="A972" s="47"/>
    </row>
    <row r="973" spans="1:1" ht="15.75" customHeight="1">
      <c r="A973" s="47"/>
    </row>
    <row r="974" spans="1:1" ht="15.75" customHeight="1">
      <c r="A974" s="47"/>
    </row>
    <row r="975" spans="1:1" ht="15.75" customHeight="1">
      <c r="A975" s="47"/>
    </row>
    <row r="976" spans="1:1" ht="15.75" customHeight="1">
      <c r="A976" s="47"/>
    </row>
    <row r="977" spans="1:1" ht="15.75" customHeight="1">
      <c r="A977" s="47"/>
    </row>
    <row r="978" spans="1:1" ht="15.75" customHeight="1">
      <c r="A978" s="47"/>
    </row>
    <row r="979" spans="1:1" ht="15.75" customHeight="1">
      <c r="A979" s="47"/>
    </row>
    <row r="980" spans="1:1" ht="15.75" customHeight="1">
      <c r="A980" s="47"/>
    </row>
    <row r="981" spans="1:1" ht="15.75" customHeight="1">
      <c r="A981" s="47"/>
    </row>
    <row r="982" spans="1:1" ht="15.75" customHeight="1">
      <c r="A982" s="47"/>
    </row>
    <row r="983" spans="1:1" ht="15.75" customHeight="1">
      <c r="A983" s="47"/>
    </row>
    <row r="984" spans="1:1" ht="15.75" customHeight="1">
      <c r="A984" s="47"/>
    </row>
    <row r="985" spans="1:1" ht="15.75" customHeight="1">
      <c r="A985" s="47"/>
    </row>
    <row r="986" spans="1:1" ht="15.75" customHeight="1">
      <c r="A986" s="47"/>
    </row>
    <row r="987" spans="1:1" ht="15.75" customHeight="1">
      <c r="A987" s="47"/>
    </row>
    <row r="988" spans="1:1" ht="15.75" customHeight="1">
      <c r="A988" s="47"/>
    </row>
    <row r="989" spans="1:1" ht="15.75" customHeight="1">
      <c r="A989" s="47"/>
    </row>
    <row r="990" spans="1:1" ht="15.75" customHeight="1">
      <c r="A990" s="47"/>
    </row>
    <row r="991" spans="1:1" ht="15.75" customHeight="1">
      <c r="A991" s="47"/>
    </row>
    <row r="992" spans="1:1" ht="15.75" customHeight="1">
      <c r="A992" s="47"/>
    </row>
    <row r="993" spans="1:1" ht="15.75" customHeight="1">
      <c r="A993" s="47"/>
    </row>
    <row r="994" spans="1:1" ht="15.75" customHeight="1">
      <c r="A994" s="47"/>
    </row>
    <row r="995" spans="1:1" ht="15.75" customHeight="1">
      <c r="A995" s="47"/>
    </row>
    <row r="996" spans="1:1" ht="15.75" customHeight="1">
      <c r="A996" s="47"/>
    </row>
    <row r="997" spans="1:1" ht="15.75" customHeight="1">
      <c r="A997" s="47"/>
    </row>
    <row r="998" spans="1:1" ht="15.75" customHeight="1">
      <c r="A998" s="47"/>
    </row>
    <row r="999" spans="1:1" ht="15.75" customHeight="1">
      <c r="A999" s="47"/>
    </row>
    <row r="1000" spans="1:1" ht="15.75" customHeight="1">
      <c r="A1000" s="47"/>
    </row>
  </sheetData>
  <mergeCells count="4">
    <mergeCell ref="D34:E34"/>
    <mergeCell ref="I34:J34"/>
    <mergeCell ref="D35:E35"/>
    <mergeCell ref="I35:J35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showGridLines="0" topLeftCell="A7" workbookViewId="0">
      <selection activeCell="M23" sqref="M23"/>
    </sheetView>
  </sheetViews>
  <sheetFormatPr baseColWidth="10" defaultColWidth="12.625" defaultRowHeight="15" customHeight="1"/>
  <cols>
    <col min="1" max="1" width="7.625" customWidth="1"/>
    <col min="2" max="2" width="3" customWidth="1"/>
    <col min="3" max="3" width="9.375" customWidth="1"/>
    <col min="4" max="6" width="13" customWidth="1"/>
    <col min="7" max="7" width="30.5" customWidth="1"/>
    <col min="8" max="8" width="9.125" customWidth="1"/>
    <col min="9" max="9" width="14.75" customWidth="1"/>
    <col min="10" max="10" width="15.25" customWidth="1"/>
    <col min="11" max="26" width="9.375" customWidth="1"/>
  </cols>
  <sheetData>
    <row r="1" spans="1:12">
      <c r="A1" s="7"/>
    </row>
    <row r="2" spans="1:12">
      <c r="A2" s="7"/>
    </row>
    <row r="3" spans="1:12">
      <c r="A3" s="7"/>
    </row>
    <row r="4" spans="1:12">
      <c r="A4" s="7"/>
    </row>
    <row r="5" spans="1:12">
      <c r="A5" s="7"/>
    </row>
    <row r="6" spans="1:12">
      <c r="A6" s="7"/>
    </row>
    <row r="7" spans="1:12">
      <c r="A7" s="7"/>
    </row>
    <row r="8" spans="1:12">
      <c r="A8" s="7"/>
      <c r="L8" s="8"/>
    </row>
    <row r="9" spans="1:12" ht="36.75" customHeight="1">
      <c r="A9" s="7"/>
      <c r="C9" s="2" t="s">
        <v>0</v>
      </c>
      <c r="D9" s="3"/>
      <c r="E9" s="3"/>
      <c r="F9" s="3"/>
      <c r="G9" s="3"/>
      <c r="H9" s="3"/>
      <c r="I9" s="3"/>
      <c r="J9" s="3"/>
      <c r="K9" s="2"/>
    </row>
    <row r="10" spans="1:12">
      <c r="A10" s="7"/>
      <c r="C10" s="9"/>
    </row>
    <row r="11" spans="1:12" ht="20.25">
      <c r="A11" s="7"/>
      <c r="G11" s="4" t="s">
        <v>24</v>
      </c>
    </row>
    <row r="12" spans="1:12" ht="7.5" customHeight="1">
      <c r="A12" s="7"/>
    </row>
    <row r="13" spans="1:12" ht="15.75">
      <c r="A13" s="7"/>
      <c r="C13" s="5" t="s">
        <v>2</v>
      </c>
      <c r="D13" s="11" t="s">
        <v>25</v>
      </c>
    </row>
    <row r="14" spans="1:12">
      <c r="A14" s="7"/>
    </row>
    <row r="15" spans="1:12" ht="17.25">
      <c r="A15" s="7"/>
      <c r="C15" s="5" t="s">
        <v>4</v>
      </c>
      <c r="D15" s="12"/>
    </row>
    <row r="16" spans="1:12">
      <c r="A16" s="7"/>
    </row>
    <row r="17" spans="1:10" ht="15.75">
      <c r="A17" s="7"/>
      <c r="C17" s="5" t="s">
        <v>5</v>
      </c>
      <c r="H17" s="5" t="s">
        <v>6</v>
      </c>
    </row>
    <row r="18" spans="1:10">
      <c r="A18" s="7"/>
    </row>
    <row r="19" spans="1:10">
      <c r="A19" s="7"/>
      <c r="D19" s="6" t="s">
        <v>7</v>
      </c>
      <c r="E19" s="6" t="s">
        <v>26</v>
      </c>
      <c r="F19" s="13"/>
      <c r="G19" s="13"/>
      <c r="H19" s="13"/>
      <c r="I19" s="6" t="s">
        <v>7</v>
      </c>
      <c r="J19" s="6" t="s">
        <v>26</v>
      </c>
    </row>
    <row r="20" spans="1:10" ht="16.5">
      <c r="A20" s="7"/>
      <c r="D20" s="1">
        <v>81</v>
      </c>
      <c r="E20">
        <f>SQRT(D20)</f>
        <v>9</v>
      </c>
      <c r="I20" s="1">
        <v>1000</v>
      </c>
      <c r="J20" s="14">
        <f>SQRT(I20)</f>
        <v>31.622776601683793</v>
      </c>
    </row>
    <row r="21" spans="1:10" ht="15.75" customHeight="1">
      <c r="A21" s="7"/>
      <c r="D21" s="1">
        <v>711</v>
      </c>
      <c r="E21">
        <f t="shared" ref="E21:E23" si="0">SQRT(D21)</f>
        <v>26.664583251946766</v>
      </c>
      <c r="I21" s="1">
        <v>865</v>
      </c>
      <c r="J21" s="14">
        <f t="shared" ref="J21:J22" si="1">SQRT(I21)</f>
        <v>29.410882339705484</v>
      </c>
    </row>
    <row r="22" spans="1:10" ht="15.75" customHeight="1">
      <c r="A22" s="7"/>
      <c r="D22" s="1">
        <v>231</v>
      </c>
      <c r="E22">
        <f t="shared" si="0"/>
        <v>15.198684153570664</v>
      </c>
      <c r="I22" s="1">
        <v>9</v>
      </c>
      <c r="J22" s="14">
        <f t="shared" si="1"/>
        <v>3</v>
      </c>
    </row>
    <row r="23" spans="1:10" ht="15.75" customHeight="1">
      <c r="A23" s="7"/>
      <c r="D23" s="1">
        <v>46</v>
      </c>
      <c r="E23">
        <f t="shared" si="0"/>
        <v>6.7823299831252681</v>
      </c>
      <c r="I23" s="1">
        <v>116</v>
      </c>
      <c r="J23" s="14">
        <f>SQRT(I23)</f>
        <v>10.770329614269007</v>
      </c>
    </row>
    <row r="24" spans="1:10" ht="15.75" customHeight="1">
      <c r="A24" s="7"/>
      <c r="D24" s="14"/>
      <c r="I24" s="14"/>
    </row>
    <row r="25" spans="1:10" ht="15.75" customHeight="1">
      <c r="A25" s="7"/>
    </row>
    <row r="26" spans="1:10" ht="15.75" customHeight="1">
      <c r="A26" s="7"/>
    </row>
    <row r="27" spans="1:10" ht="15.75" customHeight="1">
      <c r="A27" s="7"/>
    </row>
    <row r="28" spans="1:10" ht="15.75" customHeight="1">
      <c r="A28" s="7"/>
    </row>
    <row r="29" spans="1:10" ht="15.75" customHeight="1">
      <c r="A29" s="7"/>
      <c r="D29" s="14"/>
      <c r="E29" s="14"/>
    </row>
    <row r="30" spans="1:10" ht="15.75" customHeight="1">
      <c r="A30" s="7"/>
    </row>
    <row r="31" spans="1:10" ht="15.75" customHeight="1">
      <c r="A31" s="7"/>
    </row>
    <row r="32" spans="1:10" ht="15.75" customHeight="1">
      <c r="A32" s="7"/>
    </row>
    <row r="33" spans="1:10" ht="15.75" customHeight="1">
      <c r="A33" s="7"/>
    </row>
    <row r="34" spans="1:10" ht="15.75" customHeight="1">
      <c r="A34" s="7"/>
      <c r="D34" s="64"/>
      <c r="E34" s="65"/>
      <c r="I34" s="64"/>
      <c r="J34" s="65"/>
    </row>
    <row r="35" spans="1:10" ht="15.75" customHeight="1">
      <c r="A35" s="7"/>
      <c r="D35" s="64"/>
      <c r="E35" s="65"/>
      <c r="I35" s="64"/>
      <c r="J35" s="65"/>
    </row>
    <row r="36" spans="1:10" ht="15.75" customHeight="1">
      <c r="A36" s="7"/>
    </row>
    <row r="37" spans="1:10" ht="15.75" customHeight="1">
      <c r="A37" s="7"/>
    </row>
    <row r="38" spans="1:10" ht="15.75" customHeight="1">
      <c r="A38" s="7"/>
    </row>
    <row r="39" spans="1:10" ht="15.75" customHeight="1">
      <c r="A39" s="7"/>
    </row>
    <row r="40" spans="1:10" ht="15.75" customHeight="1">
      <c r="A40" s="7"/>
    </row>
    <row r="41" spans="1:10" ht="15.75" customHeight="1">
      <c r="A41" s="7"/>
    </row>
    <row r="42" spans="1:10" ht="15.75" customHeight="1">
      <c r="A42" s="7"/>
    </row>
    <row r="43" spans="1:10" ht="15.75" customHeight="1">
      <c r="A43" s="7"/>
    </row>
    <row r="44" spans="1:10" ht="15.75" customHeight="1">
      <c r="A44" s="7"/>
    </row>
    <row r="45" spans="1:10" ht="15.75" customHeight="1">
      <c r="A45" s="7"/>
    </row>
    <row r="46" spans="1:10" ht="15.75" customHeight="1">
      <c r="A46" s="7"/>
    </row>
    <row r="47" spans="1:10" ht="15.75" customHeight="1">
      <c r="A47" s="7"/>
    </row>
    <row r="48" spans="1:10" ht="15.75" customHeight="1">
      <c r="A48" s="7"/>
    </row>
    <row r="49" spans="1:1" ht="15.75" customHeight="1">
      <c r="A49" s="7"/>
    </row>
    <row r="50" spans="1:1" ht="15.75" customHeight="1">
      <c r="A50" s="7"/>
    </row>
    <row r="51" spans="1:1" ht="15.75" customHeight="1">
      <c r="A51" s="7"/>
    </row>
    <row r="52" spans="1:1" ht="15.75" customHeight="1">
      <c r="A52" s="7"/>
    </row>
    <row r="53" spans="1:1" ht="15.75" customHeight="1">
      <c r="A53" s="7"/>
    </row>
    <row r="54" spans="1:1" ht="15.75" customHeight="1">
      <c r="A54" s="7"/>
    </row>
    <row r="55" spans="1:1" ht="15.75" customHeight="1">
      <c r="A55" s="7"/>
    </row>
    <row r="56" spans="1:1" ht="15.75" customHeight="1">
      <c r="A56" s="7"/>
    </row>
    <row r="57" spans="1:1" ht="15.75" customHeight="1">
      <c r="A57" s="7"/>
    </row>
    <row r="58" spans="1:1" ht="15.75" customHeight="1">
      <c r="A58" s="7"/>
    </row>
    <row r="59" spans="1:1" ht="15.75" customHeight="1">
      <c r="A59" s="7"/>
    </row>
    <row r="60" spans="1:1" ht="15.75" customHeight="1">
      <c r="A60" s="7"/>
    </row>
    <row r="61" spans="1:1" ht="15.75" customHeight="1">
      <c r="A61" s="7"/>
    </row>
    <row r="62" spans="1:1" ht="15.75" customHeight="1">
      <c r="A62" s="7"/>
    </row>
    <row r="63" spans="1:1" ht="15.75" customHeight="1">
      <c r="A63" s="7"/>
    </row>
    <row r="64" spans="1:1" ht="15.75" customHeight="1">
      <c r="A64" s="7"/>
    </row>
    <row r="65" spans="1:1" ht="15.75" customHeight="1">
      <c r="A65" s="7"/>
    </row>
    <row r="66" spans="1:1" ht="15.75" customHeight="1">
      <c r="A66" s="7"/>
    </row>
    <row r="67" spans="1:1" ht="15.75" customHeight="1">
      <c r="A67" s="7"/>
    </row>
    <row r="68" spans="1:1" ht="15.75" customHeight="1">
      <c r="A68" s="7"/>
    </row>
    <row r="69" spans="1:1" ht="15.75" customHeight="1">
      <c r="A69" s="7"/>
    </row>
    <row r="70" spans="1:1" ht="15.75" customHeight="1">
      <c r="A70" s="7"/>
    </row>
    <row r="71" spans="1:1" ht="15.75" customHeight="1">
      <c r="A71" s="7"/>
    </row>
    <row r="72" spans="1:1" ht="15.75" customHeight="1">
      <c r="A72" s="7"/>
    </row>
    <row r="73" spans="1:1" ht="15.75" customHeight="1">
      <c r="A73" s="7"/>
    </row>
    <row r="74" spans="1:1" ht="15.75" customHeight="1">
      <c r="A74" s="7"/>
    </row>
    <row r="75" spans="1:1" ht="15.75" customHeight="1">
      <c r="A75" s="7"/>
    </row>
    <row r="76" spans="1:1" ht="15.75" customHeight="1">
      <c r="A76" s="7"/>
    </row>
    <row r="77" spans="1:1" ht="15.75" customHeight="1">
      <c r="A77" s="7"/>
    </row>
    <row r="78" spans="1:1" ht="15.75" customHeight="1">
      <c r="A78" s="7"/>
    </row>
    <row r="79" spans="1:1" ht="15.75" customHeight="1">
      <c r="A79" s="7"/>
    </row>
    <row r="80" spans="1:1" ht="15.75" customHeight="1">
      <c r="A80" s="7"/>
    </row>
    <row r="81" spans="1:1" ht="15.75" customHeight="1">
      <c r="A81" s="7"/>
    </row>
    <row r="82" spans="1:1" ht="15.75" customHeight="1">
      <c r="A82" s="7"/>
    </row>
    <row r="83" spans="1:1" ht="15.75" customHeight="1">
      <c r="A83" s="7"/>
    </row>
    <row r="84" spans="1:1" ht="15.75" customHeight="1">
      <c r="A84" s="7"/>
    </row>
    <row r="85" spans="1:1" ht="15.75" customHeight="1">
      <c r="A85" s="7"/>
    </row>
    <row r="86" spans="1:1" ht="15.75" customHeight="1">
      <c r="A86" s="7"/>
    </row>
    <row r="87" spans="1:1" ht="15.75" customHeight="1">
      <c r="A87" s="7"/>
    </row>
    <row r="88" spans="1:1" ht="15.75" customHeight="1">
      <c r="A88" s="7"/>
    </row>
    <row r="89" spans="1:1" ht="15.75" customHeight="1">
      <c r="A89" s="7"/>
    </row>
    <row r="90" spans="1:1" ht="15.75" customHeight="1">
      <c r="A90" s="7"/>
    </row>
    <row r="91" spans="1:1" ht="15.75" customHeight="1">
      <c r="A91" s="7"/>
    </row>
    <row r="92" spans="1:1" ht="15.75" customHeight="1">
      <c r="A92" s="7"/>
    </row>
    <row r="93" spans="1:1" ht="15.75" customHeight="1">
      <c r="A93" s="7"/>
    </row>
    <row r="94" spans="1:1" ht="15.75" customHeight="1">
      <c r="A94" s="7"/>
    </row>
    <row r="95" spans="1:1" ht="15.75" customHeight="1">
      <c r="A95" s="7"/>
    </row>
    <row r="96" spans="1:1" ht="15.75" customHeight="1">
      <c r="A96" s="7"/>
    </row>
    <row r="97" spans="1:1" ht="15.75" customHeight="1">
      <c r="A97" s="7"/>
    </row>
    <row r="98" spans="1:1" ht="15.75" customHeight="1">
      <c r="A98" s="7"/>
    </row>
    <row r="99" spans="1:1" ht="15.75" customHeight="1">
      <c r="A99" s="7"/>
    </row>
    <row r="100" spans="1:1" ht="15.75" customHeight="1">
      <c r="A100" s="7"/>
    </row>
    <row r="101" spans="1:1" ht="15.75" customHeight="1">
      <c r="A101" s="7"/>
    </row>
    <row r="102" spans="1:1" ht="15.75" customHeight="1">
      <c r="A102" s="7"/>
    </row>
    <row r="103" spans="1:1" ht="15.75" customHeight="1">
      <c r="A103" s="7"/>
    </row>
    <row r="104" spans="1:1" ht="15.75" customHeight="1">
      <c r="A104" s="7"/>
    </row>
    <row r="105" spans="1:1" ht="15.75" customHeight="1">
      <c r="A105" s="7"/>
    </row>
    <row r="106" spans="1:1" ht="15.75" customHeight="1">
      <c r="A106" s="7"/>
    </row>
    <row r="107" spans="1:1" ht="15.75" customHeight="1">
      <c r="A107" s="7"/>
    </row>
    <row r="108" spans="1:1" ht="15.75" customHeight="1">
      <c r="A108" s="7"/>
    </row>
    <row r="109" spans="1:1" ht="15.75" customHeight="1">
      <c r="A109" s="7"/>
    </row>
    <row r="110" spans="1:1" ht="15.75" customHeight="1">
      <c r="A110" s="7"/>
    </row>
    <row r="111" spans="1:1" ht="15.75" customHeight="1">
      <c r="A111" s="7"/>
    </row>
    <row r="112" spans="1:1" ht="15.75" customHeight="1">
      <c r="A112" s="7"/>
    </row>
    <row r="113" spans="1:1" ht="15.75" customHeight="1">
      <c r="A113" s="7"/>
    </row>
    <row r="114" spans="1:1" ht="15.75" customHeight="1">
      <c r="A114" s="7"/>
    </row>
    <row r="115" spans="1:1" ht="15.75" customHeight="1">
      <c r="A115" s="7"/>
    </row>
    <row r="116" spans="1:1" ht="15.75" customHeight="1">
      <c r="A116" s="7"/>
    </row>
    <row r="117" spans="1:1" ht="15.75" customHeight="1">
      <c r="A117" s="7"/>
    </row>
    <row r="118" spans="1:1" ht="15.75" customHeight="1">
      <c r="A118" s="7"/>
    </row>
    <row r="119" spans="1:1" ht="15.75" customHeight="1">
      <c r="A119" s="7"/>
    </row>
    <row r="120" spans="1:1" ht="15.75" customHeight="1">
      <c r="A120" s="7"/>
    </row>
    <row r="121" spans="1:1" ht="15.75" customHeight="1">
      <c r="A121" s="7"/>
    </row>
    <row r="122" spans="1:1" ht="15.75" customHeight="1">
      <c r="A122" s="7"/>
    </row>
    <row r="123" spans="1:1" ht="15.75" customHeight="1">
      <c r="A123" s="7"/>
    </row>
    <row r="124" spans="1:1" ht="15.75" customHeight="1">
      <c r="A124" s="7"/>
    </row>
    <row r="125" spans="1:1" ht="15.75" customHeight="1">
      <c r="A125" s="7"/>
    </row>
    <row r="126" spans="1:1" ht="15.75" customHeight="1">
      <c r="A126" s="7"/>
    </row>
    <row r="127" spans="1:1" ht="15.75" customHeight="1">
      <c r="A127" s="7"/>
    </row>
    <row r="128" spans="1:1" ht="15.75" customHeight="1">
      <c r="A128" s="7"/>
    </row>
    <row r="129" spans="1:1" ht="15.75" customHeight="1">
      <c r="A129" s="7"/>
    </row>
    <row r="130" spans="1:1" ht="15.75" customHeight="1">
      <c r="A130" s="7"/>
    </row>
    <row r="131" spans="1:1" ht="15.75" customHeight="1">
      <c r="A131" s="7"/>
    </row>
    <row r="132" spans="1:1" ht="15.75" customHeight="1">
      <c r="A132" s="7"/>
    </row>
    <row r="133" spans="1:1" ht="15.75" customHeight="1">
      <c r="A133" s="7"/>
    </row>
    <row r="134" spans="1:1" ht="15.75" customHeight="1">
      <c r="A134" s="7"/>
    </row>
    <row r="135" spans="1:1" ht="15.75" customHeight="1">
      <c r="A135" s="7"/>
    </row>
    <row r="136" spans="1:1" ht="15.75" customHeight="1">
      <c r="A136" s="7"/>
    </row>
    <row r="137" spans="1:1" ht="15.75" customHeight="1">
      <c r="A137" s="7"/>
    </row>
    <row r="138" spans="1:1" ht="15.75" customHeight="1">
      <c r="A138" s="7"/>
    </row>
    <row r="139" spans="1:1" ht="15.75" customHeight="1">
      <c r="A139" s="7"/>
    </row>
    <row r="140" spans="1:1" ht="15.75" customHeight="1">
      <c r="A140" s="7"/>
    </row>
    <row r="141" spans="1:1" ht="15.75" customHeight="1">
      <c r="A141" s="7"/>
    </row>
    <row r="142" spans="1:1" ht="15.75" customHeight="1">
      <c r="A142" s="7"/>
    </row>
    <row r="143" spans="1:1" ht="15.75" customHeight="1">
      <c r="A143" s="7"/>
    </row>
    <row r="144" spans="1:1" ht="15.75" customHeight="1">
      <c r="A144" s="7"/>
    </row>
    <row r="145" spans="1:1" ht="15.75" customHeight="1">
      <c r="A145" s="7"/>
    </row>
    <row r="146" spans="1:1" ht="15.75" customHeight="1">
      <c r="A146" s="7"/>
    </row>
    <row r="147" spans="1:1" ht="15.75" customHeight="1">
      <c r="A147" s="7"/>
    </row>
    <row r="148" spans="1:1" ht="15.75" customHeight="1">
      <c r="A148" s="7"/>
    </row>
    <row r="149" spans="1:1" ht="15.75" customHeight="1">
      <c r="A149" s="7"/>
    </row>
    <row r="150" spans="1:1" ht="15.75" customHeight="1">
      <c r="A150" s="7"/>
    </row>
    <row r="151" spans="1:1" ht="15.75" customHeight="1">
      <c r="A151" s="7"/>
    </row>
    <row r="152" spans="1:1" ht="15.75" customHeight="1">
      <c r="A152" s="7"/>
    </row>
    <row r="153" spans="1:1" ht="15.75" customHeight="1">
      <c r="A153" s="7"/>
    </row>
    <row r="154" spans="1:1" ht="15.75" customHeight="1">
      <c r="A154" s="7"/>
    </row>
    <row r="155" spans="1:1" ht="15.75" customHeight="1">
      <c r="A155" s="7"/>
    </row>
    <row r="156" spans="1:1" ht="15.75" customHeight="1">
      <c r="A156" s="7"/>
    </row>
    <row r="157" spans="1:1" ht="15.75" customHeight="1">
      <c r="A157" s="7"/>
    </row>
    <row r="158" spans="1:1" ht="15.75" customHeight="1">
      <c r="A158" s="7"/>
    </row>
    <row r="159" spans="1:1" ht="15.75" customHeight="1">
      <c r="A159" s="7"/>
    </row>
    <row r="160" spans="1:1" ht="15.75" customHeight="1">
      <c r="A160" s="7"/>
    </row>
    <row r="161" spans="1:1" ht="15.75" customHeight="1">
      <c r="A161" s="7"/>
    </row>
    <row r="162" spans="1:1" ht="15.75" customHeight="1">
      <c r="A162" s="7"/>
    </row>
    <row r="163" spans="1:1" ht="15.75" customHeight="1">
      <c r="A163" s="7"/>
    </row>
    <row r="164" spans="1:1" ht="15.75" customHeight="1">
      <c r="A164" s="7"/>
    </row>
    <row r="165" spans="1:1" ht="15.75" customHeight="1">
      <c r="A165" s="7"/>
    </row>
    <row r="166" spans="1:1" ht="15.75" customHeight="1">
      <c r="A166" s="7"/>
    </row>
    <row r="167" spans="1:1" ht="15.75" customHeight="1">
      <c r="A167" s="7"/>
    </row>
    <row r="168" spans="1:1" ht="15.75" customHeight="1">
      <c r="A168" s="7"/>
    </row>
    <row r="169" spans="1:1" ht="15.75" customHeight="1">
      <c r="A169" s="7"/>
    </row>
    <row r="170" spans="1:1" ht="15.75" customHeight="1">
      <c r="A170" s="7"/>
    </row>
    <row r="171" spans="1:1" ht="15.75" customHeight="1">
      <c r="A171" s="7"/>
    </row>
    <row r="172" spans="1:1" ht="15.75" customHeight="1">
      <c r="A172" s="7"/>
    </row>
    <row r="173" spans="1:1" ht="15.75" customHeight="1">
      <c r="A173" s="7"/>
    </row>
    <row r="174" spans="1:1" ht="15.75" customHeight="1">
      <c r="A174" s="7"/>
    </row>
    <row r="175" spans="1:1" ht="15.75" customHeight="1">
      <c r="A175" s="7"/>
    </row>
    <row r="176" spans="1:1" ht="15.75" customHeight="1">
      <c r="A176" s="7"/>
    </row>
    <row r="177" spans="1:1" ht="15.75" customHeight="1">
      <c r="A177" s="7"/>
    </row>
    <row r="178" spans="1:1" ht="15.75" customHeight="1">
      <c r="A178" s="7"/>
    </row>
    <row r="179" spans="1:1" ht="15.75" customHeight="1">
      <c r="A179" s="7"/>
    </row>
    <row r="180" spans="1:1" ht="15.75" customHeight="1">
      <c r="A180" s="7"/>
    </row>
    <row r="181" spans="1:1" ht="15.75" customHeight="1">
      <c r="A181" s="7"/>
    </row>
    <row r="182" spans="1:1" ht="15.75" customHeight="1">
      <c r="A182" s="7"/>
    </row>
    <row r="183" spans="1:1" ht="15.75" customHeight="1">
      <c r="A183" s="7"/>
    </row>
    <row r="184" spans="1:1" ht="15.75" customHeight="1">
      <c r="A184" s="7"/>
    </row>
    <row r="185" spans="1:1" ht="15.75" customHeight="1">
      <c r="A185" s="7"/>
    </row>
    <row r="186" spans="1:1" ht="15.75" customHeight="1">
      <c r="A186" s="7"/>
    </row>
    <row r="187" spans="1:1" ht="15.75" customHeight="1">
      <c r="A187" s="7"/>
    </row>
    <row r="188" spans="1:1" ht="15.75" customHeight="1">
      <c r="A188" s="7"/>
    </row>
    <row r="189" spans="1:1" ht="15.75" customHeight="1">
      <c r="A189" s="7"/>
    </row>
    <row r="190" spans="1:1" ht="15.75" customHeight="1">
      <c r="A190" s="7"/>
    </row>
    <row r="191" spans="1:1" ht="15.75" customHeight="1">
      <c r="A191" s="7"/>
    </row>
    <row r="192" spans="1:1" ht="15.75" customHeight="1">
      <c r="A192" s="7"/>
    </row>
    <row r="193" spans="1:1" ht="15.75" customHeight="1">
      <c r="A193" s="7"/>
    </row>
    <row r="194" spans="1:1" ht="15.75" customHeight="1">
      <c r="A194" s="7"/>
    </row>
    <row r="195" spans="1:1" ht="15.75" customHeight="1">
      <c r="A195" s="7"/>
    </row>
    <row r="196" spans="1:1" ht="15.75" customHeight="1">
      <c r="A196" s="7"/>
    </row>
    <row r="197" spans="1:1" ht="15.75" customHeight="1">
      <c r="A197" s="7"/>
    </row>
    <row r="198" spans="1:1" ht="15.75" customHeight="1">
      <c r="A198" s="7"/>
    </row>
    <row r="199" spans="1:1" ht="15.75" customHeight="1">
      <c r="A199" s="7"/>
    </row>
    <row r="200" spans="1:1" ht="15.75" customHeight="1">
      <c r="A200" s="7"/>
    </row>
    <row r="201" spans="1:1" ht="15.75" customHeight="1">
      <c r="A201" s="7"/>
    </row>
    <row r="202" spans="1:1" ht="15.75" customHeight="1">
      <c r="A202" s="7"/>
    </row>
    <row r="203" spans="1:1" ht="15.75" customHeight="1">
      <c r="A203" s="7"/>
    </row>
    <row r="204" spans="1:1" ht="15.75" customHeight="1">
      <c r="A204" s="7"/>
    </row>
    <row r="205" spans="1:1" ht="15.75" customHeight="1">
      <c r="A205" s="7"/>
    </row>
    <row r="206" spans="1:1" ht="15.75" customHeight="1">
      <c r="A206" s="7"/>
    </row>
    <row r="207" spans="1:1" ht="15.75" customHeight="1">
      <c r="A207" s="7"/>
    </row>
    <row r="208" spans="1:1" ht="15.75" customHeight="1">
      <c r="A208" s="7"/>
    </row>
    <row r="209" spans="1:1" ht="15.75" customHeight="1">
      <c r="A209" s="7"/>
    </row>
    <row r="210" spans="1:1" ht="15.75" customHeight="1">
      <c r="A210" s="7"/>
    </row>
    <row r="211" spans="1:1" ht="15.75" customHeight="1">
      <c r="A211" s="7"/>
    </row>
    <row r="212" spans="1:1" ht="15.75" customHeight="1">
      <c r="A212" s="7"/>
    </row>
    <row r="213" spans="1:1" ht="15.75" customHeight="1">
      <c r="A213" s="7"/>
    </row>
    <row r="214" spans="1:1" ht="15.75" customHeight="1">
      <c r="A214" s="7"/>
    </row>
    <row r="215" spans="1:1" ht="15.75" customHeight="1">
      <c r="A215" s="7"/>
    </row>
    <row r="216" spans="1:1" ht="15.75" customHeight="1">
      <c r="A216" s="7"/>
    </row>
    <row r="217" spans="1:1" ht="15.75" customHeight="1">
      <c r="A217" s="7"/>
    </row>
    <row r="218" spans="1:1" ht="15.75" customHeight="1">
      <c r="A218" s="7"/>
    </row>
    <row r="219" spans="1:1" ht="15.75" customHeight="1">
      <c r="A219" s="7"/>
    </row>
    <row r="220" spans="1:1" ht="15.75" customHeight="1">
      <c r="A220" s="7"/>
    </row>
    <row r="221" spans="1:1" ht="15.75" customHeight="1">
      <c r="A221" s="7"/>
    </row>
    <row r="222" spans="1:1" ht="15.75" customHeight="1">
      <c r="A222" s="7"/>
    </row>
    <row r="223" spans="1:1" ht="15.75" customHeight="1">
      <c r="A223" s="7"/>
    </row>
    <row r="224" spans="1:1" ht="15.75" customHeight="1">
      <c r="A224" s="7"/>
    </row>
    <row r="225" spans="1:1" ht="15.75" customHeight="1">
      <c r="A225" s="7"/>
    </row>
    <row r="226" spans="1:1" ht="15.75" customHeight="1">
      <c r="A226" s="7"/>
    </row>
    <row r="227" spans="1:1" ht="15.75" customHeight="1">
      <c r="A227" s="7"/>
    </row>
    <row r="228" spans="1:1" ht="15.75" customHeight="1">
      <c r="A228" s="7"/>
    </row>
    <row r="229" spans="1:1" ht="15.75" customHeight="1">
      <c r="A229" s="7"/>
    </row>
    <row r="230" spans="1:1" ht="15.75" customHeight="1">
      <c r="A230" s="7"/>
    </row>
    <row r="231" spans="1:1" ht="15.75" customHeight="1">
      <c r="A231" s="7"/>
    </row>
    <row r="232" spans="1:1" ht="15.75" customHeight="1">
      <c r="A232" s="7"/>
    </row>
    <row r="233" spans="1:1" ht="15.75" customHeight="1">
      <c r="A233" s="7"/>
    </row>
    <row r="234" spans="1:1" ht="15.75" customHeight="1">
      <c r="A234" s="7"/>
    </row>
    <row r="235" spans="1:1" ht="15.75" customHeight="1">
      <c r="A235" s="7"/>
    </row>
    <row r="236" spans="1:1" ht="15.75" customHeight="1">
      <c r="A236" s="7"/>
    </row>
    <row r="237" spans="1:1" ht="15.75" customHeight="1">
      <c r="A237" s="7"/>
    </row>
    <row r="238" spans="1:1" ht="15.75" customHeight="1">
      <c r="A238" s="7"/>
    </row>
    <row r="239" spans="1:1" ht="15.75" customHeight="1">
      <c r="A239" s="7"/>
    </row>
    <row r="240" spans="1:1" ht="15.75" customHeight="1">
      <c r="A240" s="7"/>
    </row>
    <row r="241" spans="1:1" ht="15.75" customHeight="1">
      <c r="A241" s="7"/>
    </row>
    <row r="242" spans="1:1" ht="15.75" customHeight="1">
      <c r="A242" s="7"/>
    </row>
    <row r="243" spans="1:1" ht="15.75" customHeight="1">
      <c r="A243" s="7"/>
    </row>
    <row r="244" spans="1:1" ht="15.75" customHeight="1">
      <c r="A244" s="7"/>
    </row>
    <row r="245" spans="1:1" ht="15.75" customHeight="1">
      <c r="A245" s="7"/>
    </row>
    <row r="246" spans="1:1" ht="15.75" customHeight="1">
      <c r="A246" s="7"/>
    </row>
    <row r="247" spans="1:1" ht="15.75" customHeight="1">
      <c r="A247" s="7"/>
    </row>
    <row r="248" spans="1:1" ht="15.75" customHeight="1">
      <c r="A248" s="7"/>
    </row>
    <row r="249" spans="1:1" ht="15.75" customHeight="1">
      <c r="A249" s="7"/>
    </row>
    <row r="250" spans="1:1" ht="15.75" customHeight="1">
      <c r="A250" s="7"/>
    </row>
    <row r="251" spans="1:1" ht="15.75" customHeight="1">
      <c r="A251" s="7"/>
    </row>
    <row r="252" spans="1:1" ht="15.75" customHeight="1">
      <c r="A252" s="7"/>
    </row>
    <row r="253" spans="1:1" ht="15.75" customHeight="1">
      <c r="A253" s="7"/>
    </row>
    <row r="254" spans="1:1" ht="15.75" customHeight="1">
      <c r="A254" s="7"/>
    </row>
    <row r="255" spans="1:1" ht="15.75" customHeight="1">
      <c r="A255" s="7"/>
    </row>
    <row r="256" spans="1:1" ht="15.75" customHeight="1">
      <c r="A256" s="7"/>
    </row>
    <row r="257" spans="1:1" ht="15.75" customHeight="1">
      <c r="A257" s="7"/>
    </row>
    <row r="258" spans="1:1" ht="15.75" customHeight="1">
      <c r="A258" s="7"/>
    </row>
    <row r="259" spans="1:1" ht="15.75" customHeight="1">
      <c r="A259" s="7"/>
    </row>
    <row r="260" spans="1:1" ht="15.75" customHeight="1">
      <c r="A260" s="7"/>
    </row>
    <row r="261" spans="1:1" ht="15.75" customHeight="1">
      <c r="A261" s="7"/>
    </row>
    <row r="262" spans="1:1" ht="15.75" customHeight="1">
      <c r="A262" s="7"/>
    </row>
    <row r="263" spans="1:1" ht="15.75" customHeight="1">
      <c r="A263" s="7"/>
    </row>
    <row r="264" spans="1:1" ht="15.75" customHeight="1">
      <c r="A264" s="7"/>
    </row>
    <row r="265" spans="1:1" ht="15.75" customHeight="1">
      <c r="A265" s="7"/>
    </row>
    <row r="266" spans="1:1" ht="15.75" customHeight="1">
      <c r="A266" s="7"/>
    </row>
    <row r="267" spans="1:1" ht="15.75" customHeight="1">
      <c r="A267" s="7"/>
    </row>
    <row r="268" spans="1:1" ht="15.75" customHeight="1">
      <c r="A268" s="7"/>
    </row>
    <row r="269" spans="1:1" ht="15.75" customHeight="1">
      <c r="A269" s="7"/>
    </row>
    <row r="270" spans="1:1" ht="15.75" customHeight="1">
      <c r="A270" s="7"/>
    </row>
    <row r="271" spans="1:1" ht="15.75" customHeight="1">
      <c r="A271" s="7"/>
    </row>
    <row r="272" spans="1:1" ht="15.75" customHeight="1">
      <c r="A272" s="7"/>
    </row>
    <row r="273" spans="1:1" ht="15.75" customHeight="1">
      <c r="A273" s="7"/>
    </row>
    <row r="274" spans="1:1" ht="15.75" customHeight="1">
      <c r="A274" s="7"/>
    </row>
    <row r="275" spans="1:1" ht="15.75" customHeight="1">
      <c r="A275" s="7"/>
    </row>
    <row r="276" spans="1:1" ht="15.75" customHeight="1">
      <c r="A276" s="7"/>
    </row>
    <row r="277" spans="1:1" ht="15.75" customHeight="1">
      <c r="A277" s="7"/>
    </row>
    <row r="278" spans="1:1" ht="15.75" customHeight="1">
      <c r="A278" s="7"/>
    </row>
    <row r="279" spans="1:1" ht="15.75" customHeight="1">
      <c r="A279" s="7"/>
    </row>
    <row r="280" spans="1:1" ht="15.75" customHeight="1">
      <c r="A280" s="7"/>
    </row>
    <row r="281" spans="1:1" ht="15.75" customHeight="1">
      <c r="A281" s="7"/>
    </row>
    <row r="282" spans="1:1" ht="15.75" customHeight="1">
      <c r="A282" s="7"/>
    </row>
    <row r="283" spans="1:1" ht="15.75" customHeight="1">
      <c r="A283" s="7"/>
    </row>
    <row r="284" spans="1:1" ht="15.75" customHeight="1">
      <c r="A284" s="7"/>
    </row>
    <row r="285" spans="1:1" ht="15.75" customHeight="1">
      <c r="A285" s="7"/>
    </row>
    <row r="286" spans="1:1" ht="15.75" customHeight="1">
      <c r="A286" s="7"/>
    </row>
    <row r="287" spans="1:1" ht="15.75" customHeight="1">
      <c r="A287" s="7"/>
    </row>
    <row r="288" spans="1:1" ht="15.75" customHeight="1">
      <c r="A288" s="7"/>
    </row>
    <row r="289" spans="1:1" ht="15.75" customHeight="1">
      <c r="A289" s="7"/>
    </row>
    <row r="290" spans="1:1" ht="15.75" customHeight="1">
      <c r="A290" s="7"/>
    </row>
    <row r="291" spans="1:1" ht="15.75" customHeight="1">
      <c r="A291" s="7"/>
    </row>
    <row r="292" spans="1:1" ht="15.75" customHeight="1">
      <c r="A292" s="7"/>
    </row>
    <row r="293" spans="1:1" ht="15.75" customHeight="1">
      <c r="A293" s="7"/>
    </row>
    <row r="294" spans="1:1" ht="15.75" customHeight="1">
      <c r="A294" s="7"/>
    </row>
    <row r="295" spans="1:1" ht="15.75" customHeight="1">
      <c r="A295" s="7"/>
    </row>
    <row r="296" spans="1:1" ht="15.75" customHeight="1">
      <c r="A296" s="7"/>
    </row>
    <row r="297" spans="1:1" ht="15.75" customHeight="1">
      <c r="A297" s="7"/>
    </row>
    <row r="298" spans="1:1" ht="15.75" customHeight="1">
      <c r="A298" s="7"/>
    </row>
    <row r="299" spans="1:1" ht="15.75" customHeight="1">
      <c r="A299" s="7"/>
    </row>
    <row r="300" spans="1:1" ht="15.75" customHeight="1">
      <c r="A300" s="7"/>
    </row>
    <row r="301" spans="1:1" ht="15.75" customHeight="1">
      <c r="A301" s="7"/>
    </row>
    <row r="302" spans="1:1" ht="15.75" customHeight="1">
      <c r="A302" s="7"/>
    </row>
    <row r="303" spans="1:1" ht="15.75" customHeight="1">
      <c r="A303" s="7"/>
    </row>
    <row r="304" spans="1:1" ht="15.75" customHeight="1">
      <c r="A304" s="7"/>
    </row>
    <row r="305" spans="1:1" ht="15.75" customHeight="1">
      <c r="A305" s="7"/>
    </row>
    <row r="306" spans="1:1" ht="15.75" customHeight="1">
      <c r="A306" s="7"/>
    </row>
    <row r="307" spans="1:1" ht="15.75" customHeight="1">
      <c r="A307" s="7"/>
    </row>
    <row r="308" spans="1:1" ht="15.75" customHeight="1">
      <c r="A308" s="7"/>
    </row>
    <row r="309" spans="1:1" ht="15.75" customHeight="1">
      <c r="A309" s="7"/>
    </row>
    <row r="310" spans="1:1" ht="15.75" customHeight="1">
      <c r="A310" s="7"/>
    </row>
    <row r="311" spans="1:1" ht="15.75" customHeight="1">
      <c r="A311" s="7"/>
    </row>
    <row r="312" spans="1:1" ht="15.75" customHeight="1">
      <c r="A312" s="7"/>
    </row>
    <row r="313" spans="1:1" ht="15.75" customHeight="1">
      <c r="A313" s="7"/>
    </row>
    <row r="314" spans="1:1" ht="15.75" customHeight="1">
      <c r="A314" s="7"/>
    </row>
    <row r="315" spans="1:1" ht="15.75" customHeight="1">
      <c r="A315" s="7"/>
    </row>
    <row r="316" spans="1:1" ht="15.75" customHeight="1">
      <c r="A316" s="7"/>
    </row>
    <row r="317" spans="1:1" ht="15.75" customHeight="1">
      <c r="A317" s="7"/>
    </row>
    <row r="318" spans="1:1" ht="15.75" customHeight="1">
      <c r="A318" s="7"/>
    </row>
    <row r="319" spans="1:1" ht="15.75" customHeight="1">
      <c r="A319" s="7"/>
    </row>
    <row r="320" spans="1:1" ht="15.75" customHeight="1">
      <c r="A320" s="7"/>
    </row>
    <row r="321" spans="1:1" ht="15.75" customHeight="1">
      <c r="A321" s="7"/>
    </row>
    <row r="322" spans="1:1" ht="15.75" customHeight="1">
      <c r="A322" s="7"/>
    </row>
    <row r="323" spans="1:1" ht="15.75" customHeight="1">
      <c r="A323" s="7"/>
    </row>
    <row r="324" spans="1:1" ht="15.75" customHeight="1">
      <c r="A324" s="7"/>
    </row>
    <row r="325" spans="1:1" ht="15.75" customHeight="1">
      <c r="A325" s="7"/>
    </row>
    <row r="326" spans="1:1" ht="15.75" customHeight="1">
      <c r="A326" s="7"/>
    </row>
    <row r="327" spans="1:1" ht="15.75" customHeight="1">
      <c r="A327" s="7"/>
    </row>
    <row r="328" spans="1:1" ht="15.75" customHeight="1">
      <c r="A328" s="7"/>
    </row>
    <row r="329" spans="1:1" ht="15.75" customHeight="1">
      <c r="A329" s="7"/>
    </row>
    <row r="330" spans="1:1" ht="15.75" customHeight="1">
      <c r="A330" s="7"/>
    </row>
    <row r="331" spans="1:1" ht="15.75" customHeight="1">
      <c r="A331" s="7"/>
    </row>
    <row r="332" spans="1:1" ht="15.75" customHeight="1">
      <c r="A332" s="7"/>
    </row>
    <row r="333" spans="1:1" ht="15.75" customHeight="1">
      <c r="A333" s="7"/>
    </row>
    <row r="334" spans="1:1" ht="15.75" customHeight="1">
      <c r="A334" s="7"/>
    </row>
    <row r="335" spans="1:1" ht="15.75" customHeight="1">
      <c r="A335" s="7"/>
    </row>
    <row r="336" spans="1:1" ht="15.75" customHeight="1">
      <c r="A336" s="7"/>
    </row>
    <row r="337" spans="1:1" ht="15.75" customHeight="1">
      <c r="A337" s="7"/>
    </row>
    <row r="338" spans="1:1" ht="15.75" customHeight="1">
      <c r="A338" s="7"/>
    </row>
    <row r="339" spans="1:1" ht="15.75" customHeight="1">
      <c r="A339" s="7"/>
    </row>
    <row r="340" spans="1:1" ht="15.75" customHeight="1">
      <c r="A340" s="7"/>
    </row>
    <row r="341" spans="1:1" ht="15.75" customHeight="1">
      <c r="A341" s="7"/>
    </row>
    <row r="342" spans="1:1" ht="15.75" customHeight="1">
      <c r="A342" s="7"/>
    </row>
    <row r="343" spans="1:1" ht="15.75" customHeight="1">
      <c r="A343" s="7"/>
    </row>
    <row r="344" spans="1:1" ht="15.75" customHeight="1">
      <c r="A344" s="7"/>
    </row>
    <row r="345" spans="1:1" ht="15.75" customHeight="1">
      <c r="A345" s="7"/>
    </row>
    <row r="346" spans="1:1" ht="15.75" customHeight="1">
      <c r="A346" s="7"/>
    </row>
    <row r="347" spans="1:1" ht="15.75" customHeight="1">
      <c r="A347" s="7"/>
    </row>
    <row r="348" spans="1:1" ht="15.75" customHeight="1">
      <c r="A348" s="7"/>
    </row>
    <row r="349" spans="1:1" ht="15.75" customHeight="1">
      <c r="A349" s="7"/>
    </row>
    <row r="350" spans="1:1" ht="15.75" customHeight="1">
      <c r="A350" s="7"/>
    </row>
    <row r="351" spans="1:1" ht="15.75" customHeight="1">
      <c r="A351" s="7"/>
    </row>
    <row r="352" spans="1:1" ht="15.75" customHeight="1">
      <c r="A352" s="7"/>
    </row>
    <row r="353" spans="1:1" ht="15.75" customHeight="1">
      <c r="A353" s="7"/>
    </row>
    <row r="354" spans="1:1" ht="15.75" customHeight="1">
      <c r="A354" s="7"/>
    </row>
    <row r="355" spans="1:1" ht="15.75" customHeight="1">
      <c r="A355" s="7"/>
    </row>
    <row r="356" spans="1:1" ht="15.75" customHeight="1">
      <c r="A356" s="7"/>
    </row>
    <row r="357" spans="1:1" ht="15.75" customHeight="1">
      <c r="A357" s="7"/>
    </row>
    <row r="358" spans="1:1" ht="15.75" customHeight="1">
      <c r="A358" s="7"/>
    </row>
    <row r="359" spans="1:1" ht="15.75" customHeight="1">
      <c r="A359" s="7"/>
    </row>
    <row r="360" spans="1:1" ht="15.75" customHeight="1">
      <c r="A360" s="7"/>
    </row>
    <row r="361" spans="1:1" ht="15.75" customHeight="1">
      <c r="A361" s="7"/>
    </row>
    <row r="362" spans="1:1" ht="15.75" customHeight="1">
      <c r="A362" s="7"/>
    </row>
    <row r="363" spans="1:1" ht="15.75" customHeight="1">
      <c r="A363" s="7"/>
    </row>
    <row r="364" spans="1:1" ht="15.75" customHeight="1">
      <c r="A364" s="7"/>
    </row>
    <row r="365" spans="1:1" ht="15.75" customHeight="1">
      <c r="A365" s="7"/>
    </row>
    <row r="366" spans="1:1" ht="15.75" customHeight="1">
      <c r="A366" s="7"/>
    </row>
    <row r="367" spans="1:1" ht="15.75" customHeight="1">
      <c r="A367" s="7"/>
    </row>
    <row r="368" spans="1:1" ht="15.75" customHeight="1">
      <c r="A368" s="7"/>
    </row>
    <row r="369" spans="1:1" ht="15.75" customHeight="1">
      <c r="A369" s="7"/>
    </row>
    <row r="370" spans="1:1" ht="15.75" customHeight="1">
      <c r="A370" s="7"/>
    </row>
    <row r="371" spans="1:1" ht="15.75" customHeight="1">
      <c r="A371" s="7"/>
    </row>
    <row r="372" spans="1:1" ht="15.75" customHeight="1">
      <c r="A372" s="7"/>
    </row>
    <row r="373" spans="1:1" ht="15.75" customHeight="1">
      <c r="A373" s="7"/>
    </row>
    <row r="374" spans="1:1" ht="15.75" customHeight="1">
      <c r="A374" s="7"/>
    </row>
    <row r="375" spans="1:1" ht="15.75" customHeight="1">
      <c r="A375" s="7"/>
    </row>
    <row r="376" spans="1:1" ht="15.75" customHeight="1">
      <c r="A376" s="7"/>
    </row>
    <row r="377" spans="1:1" ht="15.75" customHeight="1">
      <c r="A377" s="7"/>
    </row>
    <row r="378" spans="1:1" ht="15.75" customHeight="1">
      <c r="A378" s="7"/>
    </row>
    <row r="379" spans="1:1" ht="15.75" customHeight="1">
      <c r="A379" s="7"/>
    </row>
    <row r="380" spans="1:1" ht="15.75" customHeight="1">
      <c r="A380" s="7"/>
    </row>
    <row r="381" spans="1:1" ht="15.75" customHeight="1">
      <c r="A381" s="7"/>
    </row>
    <row r="382" spans="1:1" ht="15.75" customHeight="1">
      <c r="A382" s="7"/>
    </row>
    <row r="383" spans="1:1" ht="15.75" customHeight="1">
      <c r="A383" s="7"/>
    </row>
    <row r="384" spans="1:1" ht="15.75" customHeight="1">
      <c r="A384" s="7"/>
    </row>
    <row r="385" spans="1:1" ht="15.75" customHeight="1">
      <c r="A385" s="7"/>
    </row>
    <row r="386" spans="1:1" ht="15.75" customHeight="1">
      <c r="A386" s="7"/>
    </row>
    <row r="387" spans="1:1" ht="15.75" customHeight="1">
      <c r="A387" s="7"/>
    </row>
    <row r="388" spans="1:1" ht="15.75" customHeight="1">
      <c r="A388" s="7"/>
    </row>
    <row r="389" spans="1:1" ht="15.75" customHeight="1">
      <c r="A389" s="7"/>
    </row>
    <row r="390" spans="1:1" ht="15.75" customHeight="1">
      <c r="A390" s="7"/>
    </row>
    <row r="391" spans="1:1" ht="15.75" customHeight="1">
      <c r="A391" s="7"/>
    </row>
    <row r="392" spans="1:1" ht="15.75" customHeight="1">
      <c r="A392" s="7"/>
    </row>
    <row r="393" spans="1:1" ht="15.75" customHeight="1">
      <c r="A393" s="7"/>
    </row>
    <row r="394" spans="1:1" ht="15.75" customHeight="1">
      <c r="A394" s="7"/>
    </row>
    <row r="395" spans="1:1" ht="15.75" customHeight="1">
      <c r="A395" s="7"/>
    </row>
    <row r="396" spans="1:1" ht="15.75" customHeight="1">
      <c r="A396" s="7"/>
    </row>
    <row r="397" spans="1:1" ht="15.75" customHeight="1">
      <c r="A397" s="7"/>
    </row>
    <row r="398" spans="1:1" ht="15.75" customHeight="1">
      <c r="A398" s="7"/>
    </row>
    <row r="399" spans="1:1" ht="15.75" customHeight="1">
      <c r="A399" s="7"/>
    </row>
    <row r="400" spans="1:1" ht="15.75" customHeight="1">
      <c r="A400" s="7"/>
    </row>
    <row r="401" spans="1:1" ht="15.75" customHeight="1">
      <c r="A401" s="7"/>
    </row>
    <row r="402" spans="1:1" ht="15.75" customHeight="1">
      <c r="A402" s="7"/>
    </row>
    <row r="403" spans="1:1" ht="15.75" customHeight="1">
      <c r="A403" s="7"/>
    </row>
    <row r="404" spans="1:1" ht="15.75" customHeight="1">
      <c r="A404" s="7"/>
    </row>
    <row r="405" spans="1:1" ht="15.75" customHeight="1">
      <c r="A405" s="7"/>
    </row>
    <row r="406" spans="1:1" ht="15.75" customHeight="1">
      <c r="A406" s="7"/>
    </row>
    <row r="407" spans="1:1" ht="15.75" customHeight="1">
      <c r="A407" s="7"/>
    </row>
    <row r="408" spans="1:1" ht="15.75" customHeight="1">
      <c r="A408" s="7"/>
    </row>
    <row r="409" spans="1:1" ht="15.75" customHeight="1">
      <c r="A409" s="7"/>
    </row>
    <row r="410" spans="1:1" ht="15.75" customHeight="1">
      <c r="A410" s="7"/>
    </row>
    <row r="411" spans="1:1" ht="15.75" customHeight="1">
      <c r="A411" s="7"/>
    </row>
    <row r="412" spans="1:1" ht="15.75" customHeight="1">
      <c r="A412" s="7"/>
    </row>
    <row r="413" spans="1:1" ht="15.75" customHeight="1">
      <c r="A413" s="7"/>
    </row>
    <row r="414" spans="1:1" ht="15.75" customHeight="1">
      <c r="A414" s="7"/>
    </row>
    <row r="415" spans="1:1" ht="15.75" customHeight="1">
      <c r="A415" s="7"/>
    </row>
    <row r="416" spans="1:1" ht="15.75" customHeight="1">
      <c r="A416" s="7"/>
    </row>
    <row r="417" spans="1:1" ht="15.75" customHeight="1">
      <c r="A417" s="7"/>
    </row>
    <row r="418" spans="1:1" ht="15.75" customHeight="1">
      <c r="A418" s="7"/>
    </row>
    <row r="419" spans="1:1" ht="15.75" customHeight="1">
      <c r="A419" s="7"/>
    </row>
    <row r="420" spans="1:1" ht="15.75" customHeight="1">
      <c r="A420" s="7"/>
    </row>
    <row r="421" spans="1:1" ht="15.75" customHeight="1">
      <c r="A421" s="7"/>
    </row>
    <row r="422" spans="1:1" ht="15.75" customHeight="1">
      <c r="A422" s="7"/>
    </row>
    <row r="423" spans="1:1" ht="15.75" customHeight="1">
      <c r="A423" s="7"/>
    </row>
    <row r="424" spans="1:1" ht="15.75" customHeight="1">
      <c r="A424" s="7"/>
    </row>
    <row r="425" spans="1:1" ht="15.75" customHeight="1">
      <c r="A425" s="7"/>
    </row>
    <row r="426" spans="1:1" ht="15.75" customHeight="1">
      <c r="A426" s="7"/>
    </row>
    <row r="427" spans="1:1" ht="15.75" customHeight="1">
      <c r="A427" s="7"/>
    </row>
    <row r="428" spans="1:1" ht="15.75" customHeight="1">
      <c r="A428" s="7"/>
    </row>
    <row r="429" spans="1:1" ht="15.75" customHeight="1">
      <c r="A429" s="7"/>
    </row>
    <row r="430" spans="1:1" ht="15.75" customHeight="1">
      <c r="A430" s="7"/>
    </row>
    <row r="431" spans="1:1" ht="15.75" customHeight="1">
      <c r="A431" s="7"/>
    </row>
    <row r="432" spans="1:1" ht="15.75" customHeight="1">
      <c r="A432" s="7"/>
    </row>
    <row r="433" spans="1:1" ht="15.75" customHeight="1">
      <c r="A433" s="7"/>
    </row>
    <row r="434" spans="1:1" ht="15.75" customHeight="1">
      <c r="A434" s="7"/>
    </row>
    <row r="435" spans="1:1" ht="15.75" customHeight="1">
      <c r="A435" s="7"/>
    </row>
    <row r="436" spans="1:1" ht="15.75" customHeight="1">
      <c r="A436" s="7"/>
    </row>
    <row r="437" spans="1:1" ht="15.75" customHeight="1">
      <c r="A437" s="7"/>
    </row>
    <row r="438" spans="1:1" ht="15.75" customHeight="1">
      <c r="A438" s="7"/>
    </row>
    <row r="439" spans="1:1" ht="15.75" customHeight="1">
      <c r="A439" s="7"/>
    </row>
    <row r="440" spans="1:1" ht="15.75" customHeight="1">
      <c r="A440" s="7"/>
    </row>
    <row r="441" spans="1:1" ht="15.75" customHeight="1">
      <c r="A441" s="7"/>
    </row>
    <row r="442" spans="1:1" ht="15.75" customHeight="1">
      <c r="A442" s="7"/>
    </row>
    <row r="443" spans="1:1" ht="15.75" customHeight="1">
      <c r="A443" s="7"/>
    </row>
    <row r="444" spans="1:1" ht="15.75" customHeight="1">
      <c r="A444" s="7"/>
    </row>
    <row r="445" spans="1:1" ht="15.75" customHeight="1">
      <c r="A445" s="7"/>
    </row>
    <row r="446" spans="1:1" ht="15.75" customHeight="1">
      <c r="A446" s="7"/>
    </row>
    <row r="447" spans="1:1" ht="15.75" customHeight="1">
      <c r="A447" s="7"/>
    </row>
    <row r="448" spans="1:1" ht="15.75" customHeight="1">
      <c r="A448" s="7"/>
    </row>
    <row r="449" spans="1:1" ht="15.75" customHeight="1">
      <c r="A449" s="7"/>
    </row>
    <row r="450" spans="1:1" ht="15.75" customHeight="1">
      <c r="A450" s="7"/>
    </row>
    <row r="451" spans="1:1" ht="15.75" customHeight="1">
      <c r="A451" s="7"/>
    </row>
    <row r="452" spans="1:1" ht="15.75" customHeight="1">
      <c r="A452" s="7"/>
    </row>
    <row r="453" spans="1:1" ht="15.75" customHeight="1">
      <c r="A453" s="7"/>
    </row>
    <row r="454" spans="1:1" ht="15.75" customHeight="1">
      <c r="A454" s="7"/>
    </row>
    <row r="455" spans="1:1" ht="15.75" customHeight="1">
      <c r="A455" s="7"/>
    </row>
    <row r="456" spans="1:1" ht="15.75" customHeight="1">
      <c r="A456" s="7"/>
    </row>
    <row r="457" spans="1:1" ht="15.75" customHeight="1">
      <c r="A457" s="7"/>
    </row>
    <row r="458" spans="1:1" ht="15.75" customHeight="1">
      <c r="A458" s="7"/>
    </row>
    <row r="459" spans="1:1" ht="15.75" customHeight="1">
      <c r="A459" s="7"/>
    </row>
    <row r="460" spans="1:1" ht="15.75" customHeight="1">
      <c r="A460" s="7"/>
    </row>
    <row r="461" spans="1:1" ht="15.75" customHeight="1">
      <c r="A461" s="7"/>
    </row>
    <row r="462" spans="1:1" ht="15.75" customHeight="1">
      <c r="A462" s="7"/>
    </row>
    <row r="463" spans="1:1" ht="15.75" customHeight="1">
      <c r="A463" s="7"/>
    </row>
    <row r="464" spans="1:1" ht="15.75" customHeight="1">
      <c r="A464" s="7"/>
    </row>
    <row r="465" spans="1:1" ht="15.75" customHeight="1">
      <c r="A465" s="7"/>
    </row>
    <row r="466" spans="1:1" ht="15.75" customHeight="1">
      <c r="A466" s="7"/>
    </row>
    <row r="467" spans="1:1" ht="15.75" customHeight="1">
      <c r="A467" s="7"/>
    </row>
    <row r="468" spans="1:1" ht="15.75" customHeight="1">
      <c r="A468" s="7"/>
    </row>
    <row r="469" spans="1:1" ht="15.75" customHeight="1">
      <c r="A469" s="7"/>
    </row>
    <row r="470" spans="1:1" ht="15.75" customHeight="1">
      <c r="A470" s="7"/>
    </row>
    <row r="471" spans="1:1" ht="15.75" customHeight="1">
      <c r="A471" s="7"/>
    </row>
    <row r="472" spans="1:1" ht="15.75" customHeight="1">
      <c r="A472" s="7"/>
    </row>
    <row r="473" spans="1:1" ht="15.75" customHeight="1">
      <c r="A473" s="7"/>
    </row>
    <row r="474" spans="1:1" ht="15.75" customHeight="1">
      <c r="A474" s="7"/>
    </row>
    <row r="475" spans="1:1" ht="15.75" customHeight="1">
      <c r="A475" s="7"/>
    </row>
    <row r="476" spans="1:1" ht="15.75" customHeight="1">
      <c r="A476" s="7"/>
    </row>
    <row r="477" spans="1:1" ht="15.75" customHeight="1">
      <c r="A477" s="7"/>
    </row>
    <row r="478" spans="1:1" ht="15.75" customHeight="1">
      <c r="A478" s="7"/>
    </row>
    <row r="479" spans="1:1" ht="15.75" customHeight="1">
      <c r="A479" s="7"/>
    </row>
    <row r="480" spans="1:1" ht="15.75" customHeight="1">
      <c r="A480" s="7"/>
    </row>
    <row r="481" spans="1:1" ht="15.75" customHeight="1">
      <c r="A481" s="7"/>
    </row>
    <row r="482" spans="1:1" ht="15.75" customHeight="1">
      <c r="A482" s="7"/>
    </row>
    <row r="483" spans="1:1" ht="15.75" customHeight="1">
      <c r="A483" s="7"/>
    </row>
    <row r="484" spans="1:1" ht="15.75" customHeight="1">
      <c r="A484" s="7"/>
    </row>
    <row r="485" spans="1:1" ht="15.75" customHeight="1">
      <c r="A485" s="7"/>
    </row>
    <row r="486" spans="1:1" ht="15.75" customHeight="1">
      <c r="A486" s="7"/>
    </row>
    <row r="487" spans="1:1" ht="15.75" customHeight="1">
      <c r="A487" s="7"/>
    </row>
    <row r="488" spans="1:1" ht="15.75" customHeight="1">
      <c r="A488" s="7"/>
    </row>
    <row r="489" spans="1:1" ht="15.75" customHeight="1">
      <c r="A489" s="7"/>
    </row>
    <row r="490" spans="1:1" ht="15.75" customHeight="1">
      <c r="A490" s="7"/>
    </row>
    <row r="491" spans="1:1" ht="15.75" customHeight="1">
      <c r="A491" s="7"/>
    </row>
    <row r="492" spans="1:1" ht="15.75" customHeight="1">
      <c r="A492" s="7"/>
    </row>
    <row r="493" spans="1:1" ht="15.75" customHeight="1">
      <c r="A493" s="7"/>
    </row>
    <row r="494" spans="1:1" ht="15.75" customHeight="1">
      <c r="A494" s="7"/>
    </row>
    <row r="495" spans="1:1" ht="15.75" customHeight="1">
      <c r="A495" s="7"/>
    </row>
    <row r="496" spans="1:1" ht="15.75" customHeight="1">
      <c r="A496" s="7"/>
    </row>
    <row r="497" spans="1:1" ht="15.75" customHeight="1">
      <c r="A497" s="7"/>
    </row>
    <row r="498" spans="1:1" ht="15.75" customHeight="1">
      <c r="A498" s="7"/>
    </row>
    <row r="499" spans="1:1" ht="15.75" customHeight="1">
      <c r="A499" s="7"/>
    </row>
    <row r="500" spans="1:1" ht="15.75" customHeight="1">
      <c r="A500" s="7"/>
    </row>
    <row r="501" spans="1:1" ht="15.75" customHeight="1">
      <c r="A501" s="7"/>
    </row>
    <row r="502" spans="1:1" ht="15.75" customHeight="1">
      <c r="A502" s="7"/>
    </row>
    <row r="503" spans="1:1" ht="15.75" customHeight="1">
      <c r="A503" s="7"/>
    </row>
    <row r="504" spans="1:1" ht="15.75" customHeight="1">
      <c r="A504" s="7"/>
    </row>
    <row r="505" spans="1:1" ht="15.75" customHeight="1">
      <c r="A505" s="7"/>
    </row>
    <row r="506" spans="1:1" ht="15.75" customHeight="1">
      <c r="A506" s="7"/>
    </row>
    <row r="507" spans="1:1" ht="15.75" customHeight="1">
      <c r="A507" s="7"/>
    </row>
    <row r="508" spans="1:1" ht="15.75" customHeight="1">
      <c r="A508" s="7"/>
    </row>
    <row r="509" spans="1:1" ht="15.75" customHeight="1">
      <c r="A509" s="7"/>
    </row>
    <row r="510" spans="1:1" ht="15.75" customHeight="1">
      <c r="A510" s="7"/>
    </row>
    <row r="511" spans="1:1" ht="15.75" customHeight="1">
      <c r="A511" s="7"/>
    </row>
    <row r="512" spans="1:1" ht="15.75" customHeight="1">
      <c r="A512" s="7"/>
    </row>
    <row r="513" spans="1:1" ht="15.75" customHeight="1">
      <c r="A513" s="7"/>
    </row>
    <row r="514" spans="1:1" ht="15.75" customHeight="1">
      <c r="A514" s="7"/>
    </row>
    <row r="515" spans="1:1" ht="15.75" customHeight="1">
      <c r="A515" s="7"/>
    </row>
    <row r="516" spans="1:1" ht="15.75" customHeight="1">
      <c r="A516" s="7"/>
    </row>
    <row r="517" spans="1:1" ht="15.75" customHeight="1">
      <c r="A517" s="7"/>
    </row>
    <row r="518" spans="1:1" ht="15.75" customHeight="1">
      <c r="A518" s="7"/>
    </row>
    <row r="519" spans="1:1" ht="15.75" customHeight="1">
      <c r="A519" s="7"/>
    </row>
    <row r="520" spans="1:1" ht="15.75" customHeight="1">
      <c r="A520" s="7"/>
    </row>
    <row r="521" spans="1:1" ht="15.75" customHeight="1">
      <c r="A521" s="7"/>
    </row>
    <row r="522" spans="1:1" ht="15.75" customHeight="1">
      <c r="A522" s="7"/>
    </row>
    <row r="523" spans="1:1" ht="15.75" customHeight="1">
      <c r="A523" s="7"/>
    </row>
    <row r="524" spans="1:1" ht="15.75" customHeight="1">
      <c r="A524" s="7"/>
    </row>
    <row r="525" spans="1:1" ht="15.75" customHeight="1">
      <c r="A525" s="7"/>
    </row>
    <row r="526" spans="1:1" ht="15.75" customHeight="1">
      <c r="A526" s="7"/>
    </row>
    <row r="527" spans="1:1" ht="15.75" customHeight="1">
      <c r="A527" s="7"/>
    </row>
    <row r="528" spans="1:1" ht="15.75" customHeight="1">
      <c r="A528" s="7"/>
    </row>
    <row r="529" spans="1:1" ht="15.75" customHeight="1">
      <c r="A529" s="7"/>
    </row>
    <row r="530" spans="1:1" ht="15.75" customHeight="1">
      <c r="A530" s="7"/>
    </row>
    <row r="531" spans="1:1" ht="15.75" customHeight="1">
      <c r="A531" s="7"/>
    </row>
    <row r="532" spans="1:1" ht="15.75" customHeight="1">
      <c r="A532" s="7"/>
    </row>
    <row r="533" spans="1:1" ht="15.75" customHeight="1">
      <c r="A533" s="7"/>
    </row>
    <row r="534" spans="1:1" ht="15.75" customHeight="1">
      <c r="A534" s="7"/>
    </row>
    <row r="535" spans="1:1" ht="15.75" customHeight="1">
      <c r="A535" s="7"/>
    </row>
    <row r="536" spans="1:1" ht="15.75" customHeight="1">
      <c r="A536" s="7"/>
    </row>
    <row r="537" spans="1:1" ht="15.75" customHeight="1">
      <c r="A537" s="7"/>
    </row>
    <row r="538" spans="1:1" ht="15.75" customHeight="1">
      <c r="A538" s="7"/>
    </row>
    <row r="539" spans="1:1" ht="15.75" customHeight="1">
      <c r="A539" s="7"/>
    </row>
    <row r="540" spans="1:1" ht="15.75" customHeight="1">
      <c r="A540" s="7"/>
    </row>
    <row r="541" spans="1:1" ht="15.75" customHeight="1">
      <c r="A541" s="7"/>
    </row>
    <row r="542" spans="1:1" ht="15.75" customHeight="1">
      <c r="A542" s="7"/>
    </row>
    <row r="543" spans="1:1" ht="15.75" customHeight="1">
      <c r="A543" s="7"/>
    </row>
    <row r="544" spans="1:1" ht="15.75" customHeight="1">
      <c r="A544" s="7"/>
    </row>
    <row r="545" spans="1:1" ht="15.75" customHeight="1">
      <c r="A545" s="7"/>
    </row>
    <row r="546" spans="1:1" ht="15.75" customHeight="1">
      <c r="A546" s="7"/>
    </row>
    <row r="547" spans="1:1" ht="15.75" customHeight="1">
      <c r="A547" s="7"/>
    </row>
    <row r="548" spans="1:1" ht="15.75" customHeight="1">
      <c r="A548" s="7"/>
    </row>
    <row r="549" spans="1:1" ht="15.75" customHeight="1">
      <c r="A549" s="7"/>
    </row>
    <row r="550" spans="1:1" ht="15.75" customHeight="1">
      <c r="A550" s="7"/>
    </row>
    <row r="551" spans="1:1" ht="15.75" customHeight="1">
      <c r="A551" s="7"/>
    </row>
    <row r="552" spans="1:1" ht="15.75" customHeight="1">
      <c r="A552" s="7"/>
    </row>
    <row r="553" spans="1:1" ht="15.75" customHeight="1">
      <c r="A553" s="7"/>
    </row>
    <row r="554" spans="1:1" ht="15.75" customHeight="1">
      <c r="A554" s="7"/>
    </row>
    <row r="555" spans="1:1" ht="15.75" customHeight="1">
      <c r="A555" s="7"/>
    </row>
    <row r="556" spans="1:1" ht="15.75" customHeight="1">
      <c r="A556" s="7"/>
    </row>
    <row r="557" spans="1:1" ht="15.75" customHeight="1">
      <c r="A557" s="7"/>
    </row>
    <row r="558" spans="1:1" ht="15.75" customHeight="1">
      <c r="A558" s="7"/>
    </row>
    <row r="559" spans="1:1" ht="15.75" customHeight="1">
      <c r="A559" s="7"/>
    </row>
    <row r="560" spans="1:1" ht="15.75" customHeight="1">
      <c r="A560" s="7"/>
    </row>
    <row r="561" spans="1:1" ht="15.75" customHeight="1">
      <c r="A561" s="7"/>
    </row>
    <row r="562" spans="1:1" ht="15.75" customHeight="1">
      <c r="A562" s="7"/>
    </row>
    <row r="563" spans="1:1" ht="15.75" customHeight="1">
      <c r="A563" s="7"/>
    </row>
    <row r="564" spans="1:1" ht="15.75" customHeight="1">
      <c r="A564" s="7"/>
    </row>
    <row r="565" spans="1:1" ht="15.75" customHeight="1">
      <c r="A565" s="7"/>
    </row>
    <row r="566" spans="1:1" ht="15.75" customHeight="1">
      <c r="A566" s="7"/>
    </row>
    <row r="567" spans="1:1" ht="15.75" customHeight="1">
      <c r="A567" s="7"/>
    </row>
    <row r="568" spans="1:1" ht="15.75" customHeight="1">
      <c r="A568" s="7"/>
    </row>
    <row r="569" spans="1:1" ht="15.75" customHeight="1">
      <c r="A569" s="7"/>
    </row>
    <row r="570" spans="1:1" ht="15.75" customHeight="1">
      <c r="A570" s="7"/>
    </row>
    <row r="571" spans="1:1" ht="15.75" customHeight="1">
      <c r="A571" s="7"/>
    </row>
    <row r="572" spans="1:1" ht="15.75" customHeight="1">
      <c r="A572" s="7"/>
    </row>
    <row r="573" spans="1:1" ht="15.75" customHeight="1">
      <c r="A573" s="7"/>
    </row>
    <row r="574" spans="1:1" ht="15.75" customHeight="1">
      <c r="A574" s="7"/>
    </row>
    <row r="575" spans="1:1" ht="15.75" customHeight="1">
      <c r="A575" s="7"/>
    </row>
    <row r="576" spans="1:1" ht="15.75" customHeight="1">
      <c r="A576" s="7"/>
    </row>
    <row r="577" spans="1:1" ht="15.75" customHeight="1">
      <c r="A577" s="7"/>
    </row>
    <row r="578" spans="1:1" ht="15.75" customHeight="1">
      <c r="A578" s="7"/>
    </row>
    <row r="579" spans="1:1" ht="15.75" customHeight="1">
      <c r="A579" s="7"/>
    </row>
    <row r="580" spans="1:1" ht="15.75" customHeight="1">
      <c r="A580" s="7"/>
    </row>
    <row r="581" spans="1:1" ht="15.75" customHeight="1">
      <c r="A581" s="7"/>
    </row>
    <row r="582" spans="1:1" ht="15.75" customHeight="1">
      <c r="A582" s="7"/>
    </row>
    <row r="583" spans="1:1" ht="15.75" customHeight="1">
      <c r="A583" s="7"/>
    </row>
    <row r="584" spans="1:1" ht="15.75" customHeight="1">
      <c r="A584" s="7"/>
    </row>
    <row r="585" spans="1:1" ht="15.75" customHeight="1">
      <c r="A585" s="7"/>
    </row>
    <row r="586" spans="1:1" ht="15.75" customHeight="1">
      <c r="A586" s="7"/>
    </row>
    <row r="587" spans="1:1" ht="15.75" customHeight="1">
      <c r="A587" s="7"/>
    </row>
    <row r="588" spans="1:1" ht="15.75" customHeight="1">
      <c r="A588" s="7"/>
    </row>
    <row r="589" spans="1:1" ht="15.75" customHeight="1">
      <c r="A589" s="7"/>
    </row>
    <row r="590" spans="1:1" ht="15.75" customHeight="1">
      <c r="A590" s="7"/>
    </row>
    <row r="591" spans="1:1" ht="15.75" customHeight="1">
      <c r="A591" s="7"/>
    </row>
    <row r="592" spans="1:1" ht="15.75" customHeight="1">
      <c r="A592" s="7"/>
    </row>
    <row r="593" spans="1:1" ht="15.75" customHeight="1">
      <c r="A593" s="7"/>
    </row>
    <row r="594" spans="1:1" ht="15.75" customHeight="1">
      <c r="A594" s="7"/>
    </row>
    <row r="595" spans="1:1" ht="15.75" customHeight="1">
      <c r="A595" s="7"/>
    </row>
    <row r="596" spans="1:1" ht="15.75" customHeight="1">
      <c r="A596" s="7"/>
    </row>
    <row r="597" spans="1:1" ht="15.75" customHeight="1">
      <c r="A597" s="7"/>
    </row>
    <row r="598" spans="1:1" ht="15.75" customHeight="1">
      <c r="A598" s="7"/>
    </row>
    <row r="599" spans="1:1" ht="15.75" customHeight="1">
      <c r="A599" s="7"/>
    </row>
    <row r="600" spans="1:1" ht="15.75" customHeight="1">
      <c r="A600" s="7"/>
    </row>
    <row r="601" spans="1:1" ht="15.75" customHeight="1">
      <c r="A601" s="7"/>
    </row>
    <row r="602" spans="1:1" ht="15.75" customHeight="1">
      <c r="A602" s="7"/>
    </row>
    <row r="603" spans="1:1" ht="15.75" customHeight="1">
      <c r="A603" s="7"/>
    </row>
    <row r="604" spans="1:1" ht="15.75" customHeight="1">
      <c r="A604" s="7"/>
    </row>
    <row r="605" spans="1:1" ht="15.75" customHeight="1">
      <c r="A605" s="7"/>
    </row>
    <row r="606" spans="1:1" ht="15.75" customHeight="1">
      <c r="A606" s="7"/>
    </row>
    <row r="607" spans="1:1" ht="15.75" customHeight="1">
      <c r="A607" s="7"/>
    </row>
    <row r="608" spans="1:1" ht="15.75" customHeight="1">
      <c r="A608" s="7"/>
    </row>
    <row r="609" spans="1:1" ht="15.75" customHeight="1">
      <c r="A609" s="7"/>
    </row>
    <row r="610" spans="1:1" ht="15.75" customHeight="1">
      <c r="A610" s="7"/>
    </row>
    <row r="611" spans="1:1" ht="15.75" customHeight="1">
      <c r="A611" s="7"/>
    </row>
    <row r="612" spans="1:1" ht="15.75" customHeight="1">
      <c r="A612" s="7"/>
    </row>
    <row r="613" spans="1:1" ht="15.75" customHeight="1">
      <c r="A613" s="7"/>
    </row>
    <row r="614" spans="1:1" ht="15.75" customHeight="1">
      <c r="A614" s="7"/>
    </row>
    <row r="615" spans="1:1" ht="15.75" customHeight="1">
      <c r="A615" s="7"/>
    </row>
    <row r="616" spans="1:1" ht="15.75" customHeight="1">
      <c r="A616" s="7"/>
    </row>
    <row r="617" spans="1:1" ht="15.75" customHeight="1">
      <c r="A617" s="7"/>
    </row>
    <row r="618" spans="1:1" ht="15.75" customHeight="1">
      <c r="A618" s="7"/>
    </row>
    <row r="619" spans="1:1" ht="15.75" customHeight="1">
      <c r="A619" s="7"/>
    </row>
    <row r="620" spans="1:1" ht="15.75" customHeight="1">
      <c r="A620" s="7"/>
    </row>
    <row r="621" spans="1:1" ht="15.75" customHeight="1">
      <c r="A621" s="7"/>
    </row>
    <row r="622" spans="1:1" ht="15.75" customHeight="1">
      <c r="A622" s="7"/>
    </row>
    <row r="623" spans="1:1" ht="15.75" customHeight="1">
      <c r="A623" s="7"/>
    </row>
    <row r="624" spans="1:1" ht="15.75" customHeight="1">
      <c r="A624" s="7"/>
    </row>
    <row r="625" spans="1:1" ht="15.75" customHeight="1">
      <c r="A625" s="7"/>
    </row>
    <row r="626" spans="1:1" ht="15.75" customHeight="1">
      <c r="A626" s="7"/>
    </row>
    <row r="627" spans="1:1" ht="15.75" customHeight="1">
      <c r="A627" s="7"/>
    </row>
    <row r="628" spans="1:1" ht="15.75" customHeight="1">
      <c r="A628" s="7"/>
    </row>
    <row r="629" spans="1:1" ht="15.75" customHeight="1">
      <c r="A629" s="7"/>
    </row>
    <row r="630" spans="1:1" ht="15.75" customHeight="1">
      <c r="A630" s="7"/>
    </row>
    <row r="631" spans="1:1" ht="15.75" customHeight="1">
      <c r="A631" s="7"/>
    </row>
    <row r="632" spans="1:1" ht="15.75" customHeight="1">
      <c r="A632" s="7"/>
    </row>
    <row r="633" spans="1:1" ht="15.75" customHeight="1">
      <c r="A633" s="7"/>
    </row>
    <row r="634" spans="1:1" ht="15.75" customHeight="1">
      <c r="A634" s="7"/>
    </row>
    <row r="635" spans="1:1" ht="15.75" customHeight="1">
      <c r="A635" s="7"/>
    </row>
    <row r="636" spans="1:1" ht="15.75" customHeight="1">
      <c r="A636" s="7"/>
    </row>
    <row r="637" spans="1:1" ht="15.75" customHeight="1">
      <c r="A637" s="7"/>
    </row>
    <row r="638" spans="1:1" ht="15.75" customHeight="1">
      <c r="A638" s="7"/>
    </row>
    <row r="639" spans="1:1" ht="15.75" customHeight="1">
      <c r="A639" s="7"/>
    </row>
    <row r="640" spans="1:1" ht="15.75" customHeight="1">
      <c r="A640" s="7"/>
    </row>
    <row r="641" spans="1:1" ht="15.75" customHeight="1">
      <c r="A641" s="7"/>
    </row>
    <row r="642" spans="1:1" ht="15.75" customHeight="1">
      <c r="A642" s="7"/>
    </row>
    <row r="643" spans="1:1" ht="15.75" customHeight="1">
      <c r="A643" s="7"/>
    </row>
    <row r="644" spans="1:1" ht="15.75" customHeight="1">
      <c r="A644" s="7"/>
    </row>
    <row r="645" spans="1:1" ht="15.75" customHeight="1">
      <c r="A645" s="7"/>
    </row>
    <row r="646" spans="1:1" ht="15.75" customHeight="1">
      <c r="A646" s="7"/>
    </row>
    <row r="647" spans="1:1" ht="15.75" customHeight="1">
      <c r="A647" s="7"/>
    </row>
    <row r="648" spans="1:1" ht="15.75" customHeight="1">
      <c r="A648" s="7"/>
    </row>
    <row r="649" spans="1:1" ht="15.75" customHeight="1">
      <c r="A649" s="7"/>
    </row>
    <row r="650" spans="1:1" ht="15.75" customHeight="1">
      <c r="A650" s="7"/>
    </row>
    <row r="651" spans="1:1" ht="15.75" customHeight="1">
      <c r="A651" s="7"/>
    </row>
    <row r="652" spans="1:1" ht="15.75" customHeight="1">
      <c r="A652" s="7"/>
    </row>
    <row r="653" spans="1:1" ht="15.75" customHeight="1">
      <c r="A653" s="7"/>
    </row>
    <row r="654" spans="1:1" ht="15.75" customHeight="1">
      <c r="A654" s="7"/>
    </row>
    <row r="655" spans="1:1" ht="15.75" customHeight="1">
      <c r="A655" s="7"/>
    </row>
    <row r="656" spans="1:1" ht="15.75" customHeight="1">
      <c r="A656" s="7"/>
    </row>
    <row r="657" spans="1:1" ht="15.75" customHeight="1">
      <c r="A657" s="7"/>
    </row>
    <row r="658" spans="1:1" ht="15.75" customHeight="1">
      <c r="A658" s="7"/>
    </row>
    <row r="659" spans="1:1" ht="15.75" customHeight="1">
      <c r="A659" s="7"/>
    </row>
    <row r="660" spans="1:1" ht="15.75" customHeight="1">
      <c r="A660" s="7"/>
    </row>
    <row r="661" spans="1:1" ht="15.75" customHeight="1">
      <c r="A661" s="7"/>
    </row>
    <row r="662" spans="1:1" ht="15.75" customHeight="1">
      <c r="A662" s="7"/>
    </row>
    <row r="663" spans="1:1" ht="15.75" customHeight="1">
      <c r="A663" s="7"/>
    </row>
    <row r="664" spans="1:1" ht="15.75" customHeight="1">
      <c r="A664" s="7"/>
    </row>
    <row r="665" spans="1:1" ht="15.75" customHeight="1">
      <c r="A665" s="7"/>
    </row>
    <row r="666" spans="1:1" ht="15.75" customHeight="1">
      <c r="A666" s="7"/>
    </row>
    <row r="667" spans="1:1" ht="15.75" customHeight="1">
      <c r="A667" s="7"/>
    </row>
    <row r="668" spans="1:1" ht="15.75" customHeight="1">
      <c r="A668" s="7"/>
    </row>
    <row r="669" spans="1:1" ht="15.75" customHeight="1">
      <c r="A669" s="7"/>
    </row>
    <row r="670" spans="1:1" ht="15.75" customHeight="1">
      <c r="A670" s="7"/>
    </row>
    <row r="671" spans="1:1" ht="15.75" customHeight="1">
      <c r="A671" s="7"/>
    </row>
    <row r="672" spans="1:1" ht="15.75" customHeight="1">
      <c r="A672" s="7"/>
    </row>
    <row r="673" spans="1:1" ht="15.75" customHeight="1">
      <c r="A673" s="7"/>
    </row>
    <row r="674" spans="1:1" ht="15.75" customHeight="1">
      <c r="A674" s="7"/>
    </row>
    <row r="675" spans="1:1" ht="15.75" customHeight="1">
      <c r="A675" s="7"/>
    </row>
    <row r="676" spans="1:1" ht="15.75" customHeight="1">
      <c r="A676" s="7"/>
    </row>
    <row r="677" spans="1:1" ht="15.75" customHeight="1">
      <c r="A677" s="7"/>
    </row>
    <row r="678" spans="1:1" ht="15.75" customHeight="1">
      <c r="A678" s="7"/>
    </row>
    <row r="679" spans="1:1" ht="15.75" customHeight="1">
      <c r="A679" s="7"/>
    </row>
    <row r="680" spans="1:1" ht="15.75" customHeight="1">
      <c r="A680" s="7"/>
    </row>
    <row r="681" spans="1:1" ht="15.75" customHeight="1">
      <c r="A681" s="7"/>
    </row>
    <row r="682" spans="1:1" ht="15.75" customHeight="1">
      <c r="A682" s="7"/>
    </row>
    <row r="683" spans="1:1" ht="15.75" customHeight="1">
      <c r="A683" s="7"/>
    </row>
    <row r="684" spans="1:1" ht="15.75" customHeight="1">
      <c r="A684" s="7"/>
    </row>
    <row r="685" spans="1:1" ht="15.75" customHeight="1">
      <c r="A685" s="7"/>
    </row>
    <row r="686" spans="1:1" ht="15.75" customHeight="1">
      <c r="A686" s="7"/>
    </row>
    <row r="687" spans="1:1" ht="15.75" customHeight="1">
      <c r="A687" s="7"/>
    </row>
    <row r="688" spans="1:1" ht="15.75" customHeight="1">
      <c r="A688" s="7"/>
    </row>
    <row r="689" spans="1:1" ht="15.75" customHeight="1">
      <c r="A689" s="7"/>
    </row>
    <row r="690" spans="1:1" ht="15.75" customHeight="1">
      <c r="A690" s="7"/>
    </row>
    <row r="691" spans="1:1" ht="15.75" customHeight="1">
      <c r="A691" s="7"/>
    </row>
    <row r="692" spans="1:1" ht="15.75" customHeight="1">
      <c r="A692" s="7"/>
    </row>
    <row r="693" spans="1:1" ht="15.75" customHeight="1">
      <c r="A693" s="7"/>
    </row>
    <row r="694" spans="1:1" ht="15.75" customHeight="1">
      <c r="A694" s="7"/>
    </row>
    <row r="695" spans="1:1" ht="15.75" customHeight="1">
      <c r="A695" s="7"/>
    </row>
    <row r="696" spans="1:1" ht="15.75" customHeight="1">
      <c r="A696" s="7"/>
    </row>
    <row r="697" spans="1:1" ht="15.75" customHeight="1">
      <c r="A697" s="7"/>
    </row>
    <row r="698" spans="1:1" ht="15.75" customHeight="1">
      <c r="A698" s="7"/>
    </row>
    <row r="699" spans="1:1" ht="15.75" customHeight="1">
      <c r="A699" s="7"/>
    </row>
    <row r="700" spans="1:1" ht="15.75" customHeight="1">
      <c r="A700" s="7"/>
    </row>
    <row r="701" spans="1:1" ht="15.75" customHeight="1">
      <c r="A701" s="7"/>
    </row>
    <row r="702" spans="1:1" ht="15.75" customHeight="1">
      <c r="A702" s="7"/>
    </row>
    <row r="703" spans="1:1" ht="15.75" customHeight="1">
      <c r="A703" s="7"/>
    </row>
    <row r="704" spans="1:1" ht="15.75" customHeight="1">
      <c r="A704" s="7"/>
    </row>
    <row r="705" spans="1:1" ht="15.75" customHeight="1">
      <c r="A705" s="7"/>
    </row>
    <row r="706" spans="1:1" ht="15.75" customHeight="1">
      <c r="A706" s="7"/>
    </row>
    <row r="707" spans="1:1" ht="15.75" customHeight="1">
      <c r="A707" s="7"/>
    </row>
    <row r="708" spans="1:1" ht="15.75" customHeight="1">
      <c r="A708" s="7"/>
    </row>
    <row r="709" spans="1:1" ht="15.75" customHeight="1">
      <c r="A709" s="7"/>
    </row>
    <row r="710" spans="1:1" ht="15.75" customHeight="1">
      <c r="A710" s="7"/>
    </row>
    <row r="711" spans="1:1" ht="15.75" customHeight="1">
      <c r="A711" s="7"/>
    </row>
    <row r="712" spans="1:1" ht="15.75" customHeight="1">
      <c r="A712" s="7"/>
    </row>
    <row r="713" spans="1:1" ht="15.75" customHeight="1">
      <c r="A713" s="7"/>
    </row>
    <row r="714" spans="1:1" ht="15.75" customHeight="1">
      <c r="A714" s="7"/>
    </row>
    <row r="715" spans="1:1" ht="15.75" customHeight="1">
      <c r="A715" s="7"/>
    </row>
    <row r="716" spans="1:1" ht="15.75" customHeight="1">
      <c r="A716" s="7"/>
    </row>
    <row r="717" spans="1:1" ht="15.75" customHeight="1">
      <c r="A717" s="7"/>
    </row>
    <row r="718" spans="1:1" ht="15.75" customHeight="1">
      <c r="A718" s="7"/>
    </row>
    <row r="719" spans="1:1" ht="15.75" customHeight="1">
      <c r="A719" s="7"/>
    </row>
    <row r="720" spans="1:1" ht="15.75" customHeight="1">
      <c r="A720" s="7"/>
    </row>
    <row r="721" spans="1:1" ht="15.75" customHeight="1">
      <c r="A721" s="7"/>
    </row>
    <row r="722" spans="1:1" ht="15.75" customHeight="1">
      <c r="A722" s="7"/>
    </row>
    <row r="723" spans="1:1" ht="15.75" customHeight="1">
      <c r="A723" s="7"/>
    </row>
    <row r="724" spans="1:1" ht="15.75" customHeight="1">
      <c r="A724" s="7"/>
    </row>
    <row r="725" spans="1:1" ht="15.75" customHeight="1">
      <c r="A725" s="7"/>
    </row>
    <row r="726" spans="1:1" ht="15.75" customHeight="1">
      <c r="A726" s="7"/>
    </row>
    <row r="727" spans="1:1" ht="15.75" customHeight="1">
      <c r="A727" s="7"/>
    </row>
    <row r="728" spans="1:1" ht="15.75" customHeight="1">
      <c r="A728" s="7"/>
    </row>
    <row r="729" spans="1:1" ht="15.75" customHeight="1">
      <c r="A729" s="7"/>
    </row>
    <row r="730" spans="1:1" ht="15.75" customHeight="1">
      <c r="A730" s="7"/>
    </row>
    <row r="731" spans="1:1" ht="15.75" customHeight="1">
      <c r="A731" s="7"/>
    </row>
    <row r="732" spans="1:1" ht="15.75" customHeight="1">
      <c r="A732" s="7"/>
    </row>
    <row r="733" spans="1:1" ht="15.75" customHeight="1">
      <c r="A733" s="7"/>
    </row>
    <row r="734" spans="1:1" ht="15.75" customHeight="1">
      <c r="A734" s="7"/>
    </row>
    <row r="735" spans="1:1" ht="15.75" customHeight="1">
      <c r="A735" s="7"/>
    </row>
    <row r="736" spans="1:1" ht="15.75" customHeight="1">
      <c r="A736" s="7"/>
    </row>
    <row r="737" spans="1:1" ht="15.75" customHeight="1">
      <c r="A737" s="7"/>
    </row>
    <row r="738" spans="1:1" ht="15.75" customHeight="1">
      <c r="A738" s="7"/>
    </row>
    <row r="739" spans="1:1" ht="15.75" customHeight="1">
      <c r="A739" s="7"/>
    </row>
    <row r="740" spans="1:1" ht="15.75" customHeight="1">
      <c r="A740" s="7"/>
    </row>
    <row r="741" spans="1:1" ht="15.75" customHeight="1">
      <c r="A741" s="7"/>
    </row>
    <row r="742" spans="1:1" ht="15.75" customHeight="1">
      <c r="A742" s="7"/>
    </row>
    <row r="743" spans="1:1" ht="15.75" customHeight="1">
      <c r="A743" s="7"/>
    </row>
    <row r="744" spans="1:1" ht="15.75" customHeight="1">
      <c r="A744" s="7"/>
    </row>
    <row r="745" spans="1:1" ht="15.75" customHeight="1">
      <c r="A745" s="7"/>
    </row>
    <row r="746" spans="1:1" ht="15.75" customHeight="1">
      <c r="A746" s="7"/>
    </row>
    <row r="747" spans="1:1" ht="15.75" customHeight="1">
      <c r="A747" s="7"/>
    </row>
    <row r="748" spans="1:1" ht="15.75" customHeight="1">
      <c r="A748" s="7"/>
    </row>
    <row r="749" spans="1:1" ht="15.75" customHeight="1">
      <c r="A749" s="7"/>
    </row>
    <row r="750" spans="1:1" ht="15.75" customHeight="1">
      <c r="A750" s="7"/>
    </row>
    <row r="751" spans="1:1" ht="15.75" customHeight="1">
      <c r="A751" s="7"/>
    </row>
    <row r="752" spans="1:1" ht="15.75" customHeight="1">
      <c r="A752" s="7"/>
    </row>
    <row r="753" spans="1:1" ht="15.75" customHeight="1">
      <c r="A753" s="7"/>
    </row>
    <row r="754" spans="1:1" ht="15.75" customHeight="1">
      <c r="A754" s="7"/>
    </row>
    <row r="755" spans="1:1" ht="15.75" customHeight="1">
      <c r="A755" s="7"/>
    </row>
    <row r="756" spans="1:1" ht="15.75" customHeight="1">
      <c r="A756" s="7"/>
    </row>
    <row r="757" spans="1:1" ht="15.75" customHeight="1">
      <c r="A757" s="7"/>
    </row>
    <row r="758" spans="1:1" ht="15.75" customHeight="1">
      <c r="A758" s="7"/>
    </row>
    <row r="759" spans="1:1" ht="15.75" customHeight="1">
      <c r="A759" s="7"/>
    </row>
    <row r="760" spans="1:1" ht="15.75" customHeight="1">
      <c r="A760" s="7"/>
    </row>
    <row r="761" spans="1:1" ht="15.75" customHeight="1">
      <c r="A761" s="7"/>
    </row>
    <row r="762" spans="1:1" ht="15.75" customHeight="1">
      <c r="A762" s="7"/>
    </row>
    <row r="763" spans="1:1" ht="15.75" customHeight="1">
      <c r="A763" s="7"/>
    </row>
    <row r="764" spans="1:1" ht="15.75" customHeight="1">
      <c r="A764" s="7"/>
    </row>
    <row r="765" spans="1:1" ht="15.75" customHeight="1">
      <c r="A765" s="7"/>
    </row>
    <row r="766" spans="1:1" ht="15.75" customHeight="1">
      <c r="A766" s="7"/>
    </row>
    <row r="767" spans="1:1" ht="15.75" customHeight="1">
      <c r="A767" s="7"/>
    </row>
    <row r="768" spans="1:1" ht="15.75" customHeight="1">
      <c r="A768" s="7"/>
    </row>
    <row r="769" spans="1:1" ht="15.75" customHeight="1">
      <c r="A769" s="7"/>
    </row>
    <row r="770" spans="1:1" ht="15.75" customHeight="1">
      <c r="A770" s="7"/>
    </row>
    <row r="771" spans="1:1" ht="15.75" customHeight="1">
      <c r="A771" s="7"/>
    </row>
    <row r="772" spans="1:1" ht="15.75" customHeight="1">
      <c r="A772" s="7"/>
    </row>
    <row r="773" spans="1:1" ht="15.75" customHeight="1">
      <c r="A773" s="7"/>
    </row>
    <row r="774" spans="1:1" ht="15.75" customHeight="1">
      <c r="A774" s="7"/>
    </row>
    <row r="775" spans="1:1" ht="15.75" customHeight="1">
      <c r="A775" s="7"/>
    </row>
    <row r="776" spans="1:1" ht="15.75" customHeight="1">
      <c r="A776" s="7"/>
    </row>
    <row r="777" spans="1:1" ht="15.75" customHeight="1">
      <c r="A777" s="7"/>
    </row>
    <row r="778" spans="1:1" ht="15.75" customHeight="1">
      <c r="A778" s="7"/>
    </row>
    <row r="779" spans="1:1" ht="15.75" customHeight="1">
      <c r="A779" s="7"/>
    </row>
    <row r="780" spans="1:1" ht="15.75" customHeight="1">
      <c r="A780" s="7"/>
    </row>
    <row r="781" spans="1:1" ht="15.75" customHeight="1">
      <c r="A781" s="7"/>
    </row>
    <row r="782" spans="1:1" ht="15.75" customHeight="1">
      <c r="A782" s="7"/>
    </row>
    <row r="783" spans="1:1" ht="15.75" customHeight="1">
      <c r="A783" s="7"/>
    </row>
    <row r="784" spans="1:1" ht="15.75" customHeight="1">
      <c r="A784" s="7"/>
    </row>
    <row r="785" spans="1:1" ht="15.75" customHeight="1">
      <c r="A785" s="7"/>
    </row>
    <row r="786" spans="1:1" ht="15.75" customHeight="1">
      <c r="A786" s="7"/>
    </row>
    <row r="787" spans="1:1" ht="15.75" customHeight="1">
      <c r="A787" s="7"/>
    </row>
    <row r="788" spans="1:1" ht="15.75" customHeight="1">
      <c r="A788" s="7"/>
    </row>
    <row r="789" spans="1:1" ht="15.75" customHeight="1">
      <c r="A789" s="7"/>
    </row>
    <row r="790" spans="1:1" ht="15.75" customHeight="1">
      <c r="A790" s="7"/>
    </row>
    <row r="791" spans="1:1" ht="15.75" customHeight="1">
      <c r="A791" s="7"/>
    </row>
    <row r="792" spans="1:1" ht="15.75" customHeight="1">
      <c r="A792" s="7"/>
    </row>
    <row r="793" spans="1:1" ht="15.75" customHeight="1">
      <c r="A793" s="7"/>
    </row>
    <row r="794" spans="1:1" ht="15.75" customHeight="1">
      <c r="A794" s="7"/>
    </row>
    <row r="795" spans="1:1" ht="15.75" customHeight="1">
      <c r="A795" s="7"/>
    </row>
    <row r="796" spans="1:1" ht="15.75" customHeight="1">
      <c r="A796" s="7"/>
    </row>
    <row r="797" spans="1:1" ht="15.75" customHeight="1">
      <c r="A797" s="7"/>
    </row>
    <row r="798" spans="1:1" ht="15.75" customHeight="1">
      <c r="A798" s="7"/>
    </row>
    <row r="799" spans="1:1" ht="15.75" customHeight="1">
      <c r="A799" s="7"/>
    </row>
    <row r="800" spans="1:1" ht="15.75" customHeight="1">
      <c r="A800" s="7"/>
    </row>
    <row r="801" spans="1:1" ht="15.75" customHeight="1">
      <c r="A801" s="7"/>
    </row>
    <row r="802" spans="1:1" ht="15.75" customHeight="1">
      <c r="A802" s="7"/>
    </row>
    <row r="803" spans="1:1" ht="15.75" customHeight="1">
      <c r="A803" s="7"/>
    </row>
    <row r="804" spans="1:1" ht="15.75" customHeight="1">
      <c r="A804" s="7"/>
    </row>
    <row r="805" spans="1:1" ht="15.75" customHeight="1">
      <c r="A805" s="7"/>
    </row>
    <row r="806" spans="1:1" ht="15.75" customHeight="1">
      <c r="A806" s="7"/>
    </row>
    <row r="807" spans="1:1" ht="15.75" customHeight="1">
      <c r="A807" s="7"/>
    </row>
    <row r="808" spans="1:1" ht="15.75" customHeight="1">
      <c r="A808" s="7"/>
    </row>
    <row r="809" spans="1:1" ht="15.75" customHeight="1">
      <c r="A809" s="7"/>
    </row>
    <row r="810" spans="1:1" ht="15.75" customHeight="1">
      <c r="A810" s="7"/>
    </row>
    <row r="811" spans="1:1" ht="15.75" customHeight="1">
      <c r="A811" s="7"/>
    </row>
    <row r="812" spans="1:1" ht="15.75" customHeight="1">
      <c r="A812" s="7"/>
    </row>
    <row r="813" spans="1:1" ht="15.75" customHeight="1">
      <c r="A813" s="7"/>
    </row>
    <row r="814" spans="1:1" ht="15.75" customHeight="1">
      <c r="A814" s="7"/>
    </row>
    <row r="815" spans="1:1" ht="15.75" customHeight="1">
      <c r="A815" s="7"/>
    </row>
    <row r="816" spans="1:1" ht="15.75" customHeight="1">
      <c r="A816" s="7"/>
    </row>
    <row r="817" spans="1:1" ht="15.75" customHeight="1">
      <c r="A817" s="7"/>
    </row>
    <row r="818" spans="1:1" ht="15.75" customHeight="1">
      <c r="A818" s="7"/>
    </row>
    <row r="819" spans="1:1" ht="15.75" customHeight="1">
      <c r="A819" s="7"/>
    </row>
    <row r="820" spans="1:1" ht="15.75" customHeight="1">
      <c r="A820" s="7"/>
    </row>
    <row r="821" spans="1:1" ht="15.75" customHeight="1">
      <c r="A821" s="7"/>
    </row>
    <row r="822" spans="1:1" ht="15.75" customHeight="1">
      <c r="A822" s="7"/>
    </row>
    <row r="823" spans="1:1" ht="15.75" customHeight="1">
      <c r="A823" s="7"/>
    </row>
    <row r="824" spans="1:1" ht="15.75" customHeight="1">
      <c r="A824" s="7"/>
    </row>
    <row r="825" spans="1:1" ht="15.75" customHeight="1">
      <c r="A825" s="7"/>
    </row>
    <row r="826" spans="1:1" ht="15.75" customHeight="1">
      <c r="A826" s="7"/>
    </row>
    <row r="827" spans="1:1" ht="15.75" customHeight="1">
      <c r="A827" s="7"/>
    </row>
    <row r="828" spans="1:1" ht="15.75" customHeight="1">
      <c r="A828" s="7"/>
    </row>
    <row r="829" spans="1:1" ht="15.75" customHeight="1">
      <c r="A829" s="7"/>
    </row>
    <row r="830" spans="1:1" ht="15.75" customHeight="1">
      <c r="A830" s="7"/>
    </row>
    <row r="831" spans="1:1" ht="15.75" customHeight="1">
      <c r="A831" s="7"/>
    </row>
    <row r="832" spans="1:1" ht="15.75" customHeight="1">
      <c r="A832" s="7"/>
    </row>
    <row r="833" spans="1:1" ht="15.75" customHeight="1">
      <c r="A833" s="7"/>
    </row>
    <row r="834" spans="1:1" ht="15.75" customHeight="1">
      <c r="A834" s="7"/>
    </row>
    <row r="835" spans="1:1" ht="15.75" customHeight="1">
      <c r="A835" s="7"/>
    </row>
    <row r="836" spans="1:1" ht="15.75" customHeight="1">
      <c r="A836" s="7"/>
    </row>
    <row r="837" spans="1:1" ht="15.75" customHeight="1">
      <c r="A837" s="7"/>
    </row>
    <row r="838" spans="1:1" ht="15.75" customHeight="1">
      <c r="A838" s="7"/>
    </row>
    <row r="839" spans="1:1" ht="15.75" customHeight="1">
      <c r="A839" s="7"/>
    </row>
    <row r="840" spans="1:1" ht="15.75" customHeight="1">
      <c r="A840" s="7"/>
    </row>
    <row r="841" spans="1:1" ht="15.75" customHeight="1">
      <c r="A841" s="7"/>
    </row>
    <row r="842" spans="1:1" ht="15.75" customHeight="1">
      <c r="A842" s="7"/>
    </row>
    <row r="843" spans="1:1" ht="15.75" customHeight="1">
      <c r="A843" s="7"/>
    </row>
    <row r="844" spans="1:1" ht="15.75" customHeight="1">
      <c r="A844" s="7"/>
    </row>
    <row r="845" spans="1:1" ht="15.75" customHeight="1">
      <c r="A845" s="7"/>
    </row>
    <row r="846" spans="1:1" ht="15.75" customHeight="1">
      <c r="A846" s="7"/>
    </row>
    <row r="847" spans="1:1" ht="15.75" customHeight="1">
      <c r="A847" s="7"/>
    </row>
    <row r="848" spans="1:1" ht="15.75" customHeight="1">
      <c r="A848" s="7"/>
    </row>
    <row r="849" spans="1:1" ht="15.75" customHeight="1">
      <c r="A849" s="7"/>
    </row>
    <row r="850" spans="1:1" ht="15.75" customHeight="1">
      <c r="A850" s="7"/>
    </row>
    <row r="851" spans="1:1" ht="15.75" customHeight="1">
      <c r="A851" s="7"/>
    </row>
    <row r="852" spans="1:1" ht="15.75" customHeight="1">
      <c r="A852" s="7"/>
    </row>
    <row r="853" spans="1:1" ht="15.75" customHeight="1">
      <c r="A853" s="7"/>
    </row>
    <row r="854" spans="1:1" ht="15.75" customHeight="1">
      <c r="A854" s="7"/>
    </row>
    <row r="855" spans="1:1" ht="15.75" customHeight="1">
      <c r="A855" s="7"/>
    </row>
    <row r="856" spans="1:1" ht="15.75" customHeight="1">
      <c r="A856" s="7"/>
    </row>
    <row r="857" spans="1:1" ht="15.75" customHeight="1">
      <c r="A857" s="7"/>
    </row>
    <row r="858" spans="1:1" ht="15.75" customHeight="1">
      <c r="A858" s="7"/>
    </row>
    <row r="859" spans="1:1" ht="15.75" customHeight="1">
      <c r="A859" s="7"/>
    </row>
    <row r="860" spans="1:1" ht="15.75" customHeight="1">
      <c r="A860" s="7"/>
    </row>
    <row r="861" spans="1:1" ht="15.75" customHeight="1">
      <c r="A861" s="7"/>
    </row>
    <row r="862" spans="1:1" ht="15.75" customHeight="1">
      <c r="A862" s="7"/>
    </row>
    <row r="863" spans="1:1" ht="15.75" customHeight="1">
      <c r="A863" s="7"/>
    </row>
    <row r="864" spans="1:1" ht="15.75" customHeight="1">
      <c r="A864" s="7"/>
    </row>
    <row r="865" spans="1:1" ht="15.75" customHeight="1">
      <c r="A865" s="7"/>
    </row>
    <row r="866" spans="1:1" ht="15.75" customHeight="1">
      <c r="A866" s="7"/>
    </row>
    <row r="867" spans="1:1" ht="15.75" customHeight="1">
      <c r="A867" s="7"/>
    </row>
    <row r="868" spans="1:1" ht="15.75" customHeight="1">
      <c r="A868" s="7"/>
    </row>
    <row r="869" spans="1:1" ht="15.75" customHeight="1">
      <c r="A869" s="7"/>
    </row>
    <row r="870" spans="1:1" ht="15.75" customHeight="1">
      <c r="A870" s="7"/>
    </row>
    <row r="871" spans="1:1" ht="15.75" customHeight="1">
      <c r="A871" s="7"/>
    </row>
    <row r="872" spans="1:1" ht="15.75" customHeight="1">
      <c r="A872" s="7"/>
    </row>
    <row r="873" spans="1:1" ht="15.75" customHeight="1">
      <c r="A873" s="7"/>
    </row>
    <row r="874" spans="1:1" ht="15.75" customHeight="1">
      <c r="A874" s="7"/>
    </row>
    <row r="875" spans="1:1" ht="15.75" customHeight="1">
      <c r="A875" s="7"/>
    </row>
    <row r="876" spans="1:1" ht="15.75" customHeight="1">
      <c r="A876" s="7"/>
    </row>
    <row r="877" spans="1:1" ht="15.75" customHeight="1">
      <c r="A877" s="7"/>
    </row>
    <row r="878" spans="1:1" ht="15.75" customHeight="1">
      <c r="A878" s="7"/>
    </row>
    <row r="879" spans="1:1" ht="15.75" customHeight="1">
      <c r="A879" s="7"/>
    </row>
    <row r="880" spans="1:1" ht="15.75" customHeight="1">
      <c r="A880" s="7"/>
    </row>
    <row r="881" spans="1:1" ht="15.75" customHeight="1">
      <c r="A881" s="7"/>
    </row>
    <row r="882" spans="1:1" ht="15.75" customHeight="1">
      <c r="A882" s="7"/>
    </row>
    <row r="883" spans="1:1" ht="15.75" customHeight="1">
      <c r="A883" s="7"/>
    </row>
    <row r="884" spans="1:1" ht="15.75" customHeight="1">
      <c r="A884" s="7"/>
    </row>
    <row r="885" spans="1:1" ht="15.75" customHeight="1">
      <c r="A885" s="7"/>
    </row>
    <row r="886" spans="1:1" ht="15.75" customHeight="1">
      <c r="A886" s="7"/>
    </row>
    <row r="887" spans="1:1" ht="15.75" customHeight="1">
      <c r="A887" s="7"/>
    </row>
    <row r="888" spans="1:1" ht="15.75" customHeight="1">
      <c r="A888" s="7"/>
    </row>
    <row r="889" spans="1:1" ht="15.75" customHeight="1">
      <c r="A889" s="7"/>
    </row>
    <row r="890" spans="1:1" ht="15.75" customHeight="1">
      <c r="A890" s="7"/>
    </row>
    <row r="891" spans="1:1" ht="15.75" customHeight="1">
      <c r="A891" s="7"/>
    </row>
    <row r="892" spans="1:1" ht="15.75" customHeight="1">
      <c r="A892" s="7"/>
    </row>
    <row r="893" spans="1:1" ht="15.75" customHeight="1">
      <c r="A893" s="7"/>
    </row>
    <row r="894" spans="1:1" ht="15.75" customHeight="1">
      <c r="A894" s="7"/>
    </row>
    <row r="895" spans="1:1" ht="15.75" customHeight="1">
      <c r="A895" s="7"/>
    </row>
    <row r="896" spans="1:1" ht="15.75" customHeight="1">
      <c r="A896" s="7"/>
    </row>
    <row r="897" spans="1:1" ht="15.75" customHeight="1">
      <c r="A897" s="7"/>
    </row>
    <row r="898" spans="1:1" ht="15.75" customHeight="1">
      <c r="A898" s="7"/>
    </row>
    <row r="899" spans="1:1" ht="15.75" customHeight="1">
      <c r="A899" s="7"/>
    </row>
    <row r="900" spans="1:1" ht="15.75" customHeight="1">
      <c r="A900" s="7"/>
    </row>
    <row r="901" spans="1:1" ht="15.75" customHeight="1">
      <c r="A901" s="7"/>
    </row>
    <row r="902" spans="1:1" ht="15.75" customHeight="1">
      <c r="A902" s="7"/>
    </row>
    <row r="903" spans="1:1" ht="15.75" customHeight="1">
      <c r="A903" s="7"/>
    </row>
    <row r="904" spans="1:1" ht="15.75" customHeight="1">
      <c r="A904" s="7"/>
    </row>
    <row r="905" spans="1:1" ht="15.75" customHeight="1">
      <c r="A905" s="7"/>
    </row>
    <row r="906" spans="1:1" ht="15.75" customHeight="1">
      <c r="A906" s="7"/>
    </row>
    <row r="907" spans="1:1" ht="15.75" customHeight="1">
      <c r="A907" s="7"/>
    </row>
    <row r="908" spans="1:1" ht="15.75" customHeight="1">
      <c r="A908" s="7"/>
    </row>
    <row r="909" spans="1:1" ht="15.75" customHeight="1">
      <c r="A909" s="7"/>
    </row>
    <row r="910" spans="1:1" ht="15.75" customHeight="1">
      <c r="A910" s="7"/>
    </row>
    <row r="911" spans="1:1" ht="15.75" customHeight="1">
      <c r="A911" s="7"/>
    </row>
    <row r="912" spans="1:1" ht="15.75" customHeight="1">
      <c r="A912" s="7"/>
    </row>
    <row r="913" spans="1:1" ht="15.75" customHeight="1">
      <c r="A913" s="7"/>
    </row>
    <row r="914" spans="1:1" ht="15.75" customHeight="1">
      <c r="A914" s="7"/>
    </row>
    <row r="915" spans="1:1" ht="15.75" customHeight="1">
      <c r="A915" s="7"/>
    </row>
    <row r="916" spans="1:1" ht="15.75" customHeight="1">
      <c r="A916" s="7"/>
    </row>
    <row r="917" spans="1:1" ht="15.75" customHeight="1">
      <c r="A917" s="7"/>
    </row>
    <row r="918" spans="1:1" ht="15.75" customHeight="1">
      <c r="A918" s="7"/>
    </row>
    <row r="919" spans="1:1" ht="15.75" customHeight="1">
      <c r="A919" s="7"/>
    </row>
    <row r="920" spans="1:1" ht="15.75" customHeight="1">
      <c r="A920" s="7"/>
    </row>
    <row r="921" spans="1:1" ht="15.75" customHeight="1">
      <c r="A921" s="7"/>
    </row>
    <row r="922" spans="1:1" ht="15.75" customHeight="1">
      <c r="A922" s="7"/>
    </row>
    <row r="923" spans="1:1" ht="15.75" customHeight="1">
      <c r="A923" s="7"/>
    </row>
    <row r="924" spans="1:1" ht="15.75" customHeight="1">
      <c r="A924" s="7"/>
    </row>
    <row r="925" spans="1:1" ht="15.75" customHeight="1">
      <c r="A925" s="7"/>
    </row>
    <row r="926" spans="1:1" ht="15.75" customHeight="1">
      <c r="A926" s="7"/>
    </row>
    <row r="927" spans="1:1" ht="15.75" customHeight="1">
      <c r="A927" s="7"/>
    </row>
    <row r="928" spans="1:1" ht="15.75" customHeight="1">
      <c r="A928" s="7"/>
    </row>
    <row r="929" spans="1:1" ht="15.75" customHeight="1">
      <c r="A929" s="7"/>
    </row>
    <row r="930" spans="1:1" ht="15.75" customHeight="1">
      <c r="A930" s="7"/>
    </row>
    <row r="931" spans="1:1" ht="15.75" customHeight="1">
      <c r="A931" s="7"/>
    </row>
    <row r="932" spans="1:1" ht="15.75" customHeight="1">
      <c r="A932" s="7"/>
    </row>
    <row r="933" spans="1:1" ht="15.75" customHeight="1">
      <c r="A933" s="7"/>
    </row>
    <row r="934" spans="1:1" ht="15.75" customHeight="1">
      <c r="A934" s="7"/>
    </row>
    <row r="935" spans="1:1" ht="15.75" customHeight="1">
      <c r="A935" s="7"/>
    </row>
    <row r="936" spans="1:1" ht="15.75" customHeight="1">
      <c r="A936" s="7"/>
    </row>
    <row r="937" spans="1:1" ht="15.75" customHeight="1">
      <c r="A937" s="7"/>
    </row>
    <row r="938" spans="1:1" ht="15.75" customHeight="1">
      <c r="A938" s="7"/>
    </row>
    <row r="939" spans="1:1" ht="15.75" customHeight="1">
      <c r="A939" s="7"/>
    </row>
    <row r="940" spans="1:1" ht="15.75" customHeight="1">
      <c r="A940" s="7"/>
    </row>
    <row r="941" spans="1:1" ht="15.75" customHeight="1">
      <c r="A941" s="7"/>
    </row>
    <row r="942" spans="1:1" ht="15.75" customHeight="1">
      <c r="A942" s="7"/>
    </row>
    <row r="943" spans="1:1" ht="15.75" customHeight="1">
      <c r="A943" s="7"/>
    </row>
    <row r="944" spans="1:1" ht="15.75" customHeight="1">
      <c r="A944" s="7"/>
    </row>
    <row r="945" spans="1:1" ht="15.75" customHeight="1">
      <c r="A945" s="7"/>
    </row>
    <row r="946" spans="1:1" ht="15.75" customHeight="1">
      <c r="A946" s="7"/>
    </row>
    <row r="947" spans="1:1" ht="15.75" customHeight="1">
      <c r="A947" s="7"/>
    </row>
    <row r="948" spans="1:1" ht="15.75" customHeight="1">
      <c r="A948" s="7"/>
    </row>
    <row r="949" spans="1:1" ht="15.75" customHeight="1">
      <c r="A949" s="7"/>
    </row>
    <row r="950" spans="1:1" ht="15.75" customHeight="1">
      <c r="A950" s="7"/>
    </row>
    <row r="951" spans="1:1" ht="15.75" customHeight="1">
      <c r="A951" s="7"/>
    </row>
    <row r="952" spans="1:1" ht="15.75" customHeight="1">
      <c r="A952" s="7"/>
    </row>
    <row r="953" spans="1:1" ht="15.75" customHeight="1">
      <c r="A953" s="7"/>
    </row>
    <row r="954" spans="1:1" ht="15.75" customHeight="1">
      <c r="A954" s="7"/>
    </row>
    <row r="955" spans="1:1" ht="15.75" customHeight="1">
      <c r="A955" s="7"/>
    </row>
    <row r="956" spans="1:1" ht="15.75" customHeight="1">
      <c r="A956" s="7"/>
    </row>
    <row r="957" spans="1:1" ht="15.75" customHeight="1">
      <c r="A957" s="7"/>
    </row>
    <row r="958" spans="1:1" ht="15.75" customHeight="1">
      <c r="A958" s="7"/>
    </row>
    <row r="959" spans="1:1" ht="15.75" customHeight="1">
      <c r="A959" s="7"/>
    </row>
    <row r="960" spans="1:1" ht="15.75" customHeight="1">
      <c r="A960" s="7"/>
    </row>
    <row r="961" spans="1:1" ht="15.75" customHeight="1">
      <c r="A961" s="7"/>
    </row>
    <row r="962" spans="1:1" ht="15.75" customHeight="1">
      <c r="A962" s="7"/>
    </row>
    <row r="963" spans="1:1" ht="15.75" customHeight="1">
      <c r="A963" s="7"/>
    </row>
    <row r="964" spans="1:1" ht="15.75" customHeight="1">
      <c r="A964" s="7"/>
    </row>
    <row r="965" spans="1:1" ht="15.75" customHeight="1">
      <c r="A965" s="7"/>
    </row>
    <row r="966" spans="1:1" ht="15.75" customHeight="1">
      <c r="A966" s="7"/>
    </row>
    <row r="967" spans="1:1" ht="15.75" customHeight="1">
      <c r="A967" s="7"/>
    </row>
    <row r="968" spans="1:1" ht="15.75" customHeight="1">
      <c r="A968" s="7"/>
    </row>
    <row r="969" spans="1:1" ht="15.75" customHeight="1">
      <c r="A969" s="7"/>
    </row>
    <row r="970" spans="1:1" ht="15.75" customHeight="1">
      <c r="A970" s="7"/>
    </row>
    <row r="971" spans="1:1" ht="15.75" customHeight="1">
      <c r="A971" s="7"/>
    </row>
    <row r="972" spans="1:1" ht="15.75" customHeight="1">
      <c r="A972" s="7"/>
    </row>
    <row r="973" spans="1:1" ht="15.75" customHeight="1">
      <c r="A973" s="7"/>
    </row>
    <row r="974" spans="1:1" ht="15.75" customHeight="1">
      <c r="A974" s="7"/>
    </row>
    <row r="975" spans="1:1" ht="15.75" customHeight="1">
      <c r="A975" s="7"/>
    </row>
    <row r="976" spans="1:1" ht="15.75" customHeight="1">
      <c r="A976" s="7"/>
    </row>
    <row r="977" spans="1:1" ht="15.75" customHeight="1">
      <c r="A977" s="7"/>
    </row>
    <row r="978" spans="1:1" ht="15.75" customHeight="1">
      <c r="A978" s="7"/>
    </row>
    <row r="979" spans="1:1" ht="15.75" customHeight="1">
      <c r="A979" s="7"/>
    </row>
    <row r="980" spans="1:1" ht="15.75" customHeight="1">
      <c r="A980" s="7"/>
    </row>
    <row r="981" spans="1:1" ht="15.75" customHeight="1">
      <c r="A981" s="7"/>
    </row>
    <row r="982" spans="1:1" ht="15.75" customHeight="1">
      <c r="A982" s="7"/>
    </row>
    <row r="983" spans="1:1" ht="15.75" customHeight="1">
      <c r="A983" s="7"/>
    </row>
    <row r="984" spans="1:1" ht="15.75" customHeight="1">
      <c r="A984" s="7"/>
    </row>
    <row r="985" spans="1:1" ht="15.75" customHeight="1">
      <c r="A985" s="7"/>
    </row>
    <row r="986" spans="1:1" ht="15.75" customHeight="1">
      <c r="A986" s="7"/>
    </row>
    <row r="987" spans="1:1" ht="15.75" customHeight="1">
      <c r="A987" s="7"/>
    </row>
    <row r="988" spans="1:1" ht="15.75" customHeight="1">
      <c r="A988" s="7"/>
    </row>
    <row r="989" spans="1:1" ht="15.75" customHeight="1">
      <c r="A989" s="7"/>
    </row>
    <row r="990" spans="1:1" ht="15.75" customHeight="1">
      <c r="A990" s="7"/>
    </row>
    <row r="991" spans="1:1" ht="15.75" customHeight="1">
      <c r="A991" s="7"/>
    </row>
    <row r="992" spans="1:1" ht="15.75" customHeight="1">
      <c r="A992" s="7"/>
    </row>
    <row r="993" spans="1:1" ht="15.75" customHeight="1">
      <c r="A993" s="7"/>
    </row>
    <row r="994" spans="1:1" ht="15.75" customHeight="1">
      <c r="A994" s="7"/>
    </row>
    <row r="995" spans="1:1" ht="15.75" customHeight="1">
      <c r="A995" s="7"/>
    </row>
    <row r="996" spans="1:1" ht="15.75" customHeight="1">
      <c r="A996" s="7"/>
    </row>
    <row r="997" spans="1:1" ht="15.75" customHeight="1">
      <c r="A997" s="7"/>
    </row>
    <row r="998" spans="1:1" ht="15.75" customHeight="1">
      <c r="A998" s="7"/>
    </row>
    <row r="999" spans="1:1" ht="15.75" customHeight="1">
      <c r="A999" s="7"/>
    </row>
    <row r="1000" spans="1:1" ht="15.75" customHeight="1">
      <c r="A1000" s="7"/>
    </row>
  </sheetData>
  <mergeCells count="4">
    <mergeCell ref="D34:E34"/>
    <mergeCell ref="I34:J34"/>
    <mergeCell ref="D35:E35"/>
    <mergeCell ref="I35:J35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showGridLines="0" tabSelected="1" topLeftCell="A9" zoomScale="70" zoomScaleNormal="70" workbookViewId="0">
      <selection activeCell="L49" sqref="L49"/>
    </sheetView>
  </sheetViews>
  <sheetFormatPr baseColWidth="10" defaultColWidth="12.625" defaultRowHeight="15" customHeight="1"/>
  <cols>
    <col min="1" max="1" width="7.625" customWidth="1"/>
    <col min="2" max="2" width="3" customWidth="1"/>
    <col min="3" max="3" width="9.375" customWidth="1"/>
    <col min="4" max="4" width="13.125" customWidth="1"/>
    <col min="5" max="5" width="15.75" customWidth="1"/>
    <col min="6" max="6" width="13" customWidth="1"/>
    <col min="7" max="7" width="30.5" customWidth="1"/>
    <col min="8" max="8" width="9.125" customWidth="1"/>
    <col min="9" max="9" width="14.75" customWidth="1"/>
    <col min="10" max="10" width="15.25" customWidth="1"/>
    <col min="11" max="26" width="9.375" customWidth="1"/>
  </cols>
  <sheetData>
    <row r="1" spans="1:13">
      <c r="A1" s="7"/>
    </row>
    <row r="2" spans="1:13">
      <c r="A2" s="7"/>
    </row>
    <row r="3" spans="1:13">
      <c r="A3" s="7"/>
    </row>
    <row r="4" spans="1:13">
      <c r="A4" s="7"/>
    </row>
    <row r="5" spans="1:13">
      <c r="A5" s="7"/>
    </row>
    <row r="6" spans="1:13">
      <c r="A6" s="7"/>
    </row>
    <row r="7" spans="1:13">
      <c r="A7" s="7"/>
    </row>
    <row r="8" spans="1:13">
      <c r="A8" s="7"/>
      <c r="M8" s="8"/>
    </row>
    <row r="9" spans="1:13" ht="36.75" customHeight="1">
      <c r="A9" s="7"/>
      <c r="C9" s="2" t="s">
        <v>0</v>
      </c>
      <c r="D9" s="3"/>
      <c r="E9" s="3"/>
      <c r="F9" s="3"/>
      <c r="G9" s="3"/>
      <c r="H9" s="3"/>
      <c r="I9" s="3"/>
      <c r="J9" s="3"/>
      <c r="K9" s="2"/>
      <c r="L9" s="2"/>
    </row>
    <row r="10" spans="1:13">
      <c r="A10" s="7"/>
      <c r="C10" s="9"/>
    </row>
    <row r="11" spans="1:13" ht="20.25">
      <c r="A11" s="7"/>
      <c r="G11" s="4" t="s">
        <v>27</v>
      </c>
    </row>
    <row r="12" spans="1:13" ht="7.5" customHeight="1">
      <c r="A12" s="7"/>
    </row>
    <row r="13" spans="1:13" ht="15.75">
      <c r="A13" s="7"/>
      <c r="C13" s="5" t="s">
        <v>2</v>
      </c>
      <c r="D13" s="10" t="s">
        <v>28</v>
      </c>
    </row>
    <row r="14" spans="1:13">
      <c r="A14" s="7"/>
    </row>
    <row r="15" spans="1:13" ht="17.25">
      <c r="A15" s="7"/>
      <c r="C15" s="5" t="s">
        <v>4</v>
      </c>
      <c r="D15" s="12"/>
    </row>
    <row r="16" spans="1:13" ht="15.75">
      <c r="A16" s="7"/>
      <c r="C16" s="5"/>
    </row>
    <row r="17" spans="1:10" ht="15.75">
      <c r="A17" s="7"/>
      <c r="C17" s="5" t="s">
        <v>5</v>
      </c>
      <c r="H17" s="5" t="s">
        <v>6</v>
      </c>
    </row>
    <row r="18" spans="1:10" ht="15.75">
      <c r="A18" s="7"/>
      <c r="H18" s="5"/>
    </row>
    <row r="19" spans="1:10" ht="33.75" customHeight="1">
      <c r="A19" s="7"/>
      <c r="D19" s="16" t="s">
        <v>7</v>
      </c>
      <c r="E19" s="16" t="s">
        <v>29</v>
      </c>
      <c r="H19" s="5"/>
      <c r="I19" s="16" t="s">
        <v>7</v>
      </c>
      <c r="J19" s="16" t="s">
        <v>30</v>
      </c>
    </row>
    <row r="20" spans="1:10" ht="16.5">
      <c r="A20" s="7"/>
      <c r="D20" s="1">
        <v>14.211767999999999</v>
      </c>
      <c r="E20" s="1">
        <f>ROUND(D20,3)</f>
        <v>14.212</v>
      </c>
      <c r="H20" s="5"/>
      <c r="I20" s="1">
        <v>99.123109999999997</v>
      </c>
      <c r="J20" s="14">
        <f>ROUND(I20,2)</f>
        <v>99.12</v>
      </c>
    </row>
    <row r="21" spans="1:10" ht="15.75" customHeight="1">
      <c r="A21" s="7"/>
      <c r="D21" s="1">
        <v>874.21176809999997</v>
      </c>
      <c r="E21" s="1">
        <f t="shared" ref="E21:E23" si="0">ROUND(D21,3)</f>
        <v>874.21199999999999</v>
      </c>
      <c r="H21" s="5"/>
      <c r="I21" s="1">
        <v>1.2221409999999999</v>
      </c>
      <c r="J21" s="14">
        <f t="shared" ref="J21:J23" si="1">ROUND(I21,2)</f>
        <v>1.22</v>
      </c>
    </row>
    <row r="22" spans="1:10" ht="15.75" customHeight="1">
      <c r="A22" s="7"/>
      <c r="D22" s="1">
        <v>1.3445499999999999</v>
      </c>
      <c r="E22" s="1">
        <f t="shared" si="0"/>
        <v>1.345</v>
      </c>
      <c r="I22" s="1">
        <v>741.02310439999997</v>
      </c>
      <c r="J22" s="14">
        <f t="shared" si="1"/>
        <v>741.02</v>
      </c>
    </row>
    <row r="23" spans="1:10" ht="15.75" customHeight="1">
      <c r="A23" s="7"/>
      <c r="D23" s="1">
        <v>777.81933200000003</v>
      </c>
      <c r="E23" s="1">
        <f t="shared" si="0"/>
        <v>777.81899999999996</v>
      </c>
      <c r="I23" s="1">
        <v>10.133139999999999</v>
      </c>
      <c r="J23" s="14">
        <f t="shared" si="1"/>
        <v>10.130000000000001</v>
      </c>
    </row>
    <row r="24" spans="1:10" ht="15.75" customHeight="1">
      <c r="A24" s="7"/>
      <c r="D24" s="14"/>
      <c r="I24" s="14"/>
    </row>
    <row r="25" spans="1:10" ht="15.75" customHeight="1">
      <c r="A25" s="7"/>
      <c r="G25" s="4" t="s">
        <v>31</v>
      </c>
    </row>
    <row r="26" spans="1:10" ht="15.75" customHeight="1">
      <c r="A26" s="7"/>
    </row>
    <row r="27" spans="1:10" ht="15.75" customHeight="1">
      <c r="A27" s="7"/>
      <c r="C27" s="5" t="s">
        <v>2</v>
      </c>
      <c r="D27" s="10" t="s">
        <v>32</v>
      </c>
    </row>
    <row r="28" spans="1:10" ht="15.75" customHeight="1">
      <c r="A28" s="7"/>
      <c r="C28" s="5"/>
    </row>
    <row r="29" spans="1:10" ht="15.75" customHeight="1">
      <c r="A29" s="7"/>
      <c r="C29" s="5" t="s">
        <v>4</v>
      </c>
      <c r="D29" s="12"/>
    </row>
    <row r="30" spans="1:10" ht="15.75" customHeight="1">
      <c r="A30" s="7"/>
      <c r="C30" s="5"/>
    </row>
    <row r="31" spans="1:10" ht="15.75" customHeight="1">
      <c r="A31" s="7"/>
      <c r="C31" s="5" t="s">
        <v>5</v>
      </c>
      <c r="H31" s="5" t="s">
        <v>6</v>
      </c>
    </row>
    <row r="32" spans="1:10" ht="15.75" customHeight="1">
      <c r="A32" s="7"/>
      <c r="H32" s="5"/>
    </row>
    <row r="33" spans="1:10" ht="15.75" customHeight="1">
      <c r="A33" s="7"/>
      <c r="D33" s="6" t="s">
        <v>7</v>
      </c>
      <c r="E33" s="6" t="s">
        <v>33</v>
      </c>
      <c r="H33" s="5"/>
      <c r="I33" s="6" t="s">
        <v>7</v>
      </c>
      <c r="J33" s="6" t="s">
        <v>33</v>
      </c>
    </row>
    <row r="34" spans="1:10" ht="15.75" customHeight="1">
      <c r="A34" s="7"/>
      <c r="D34" s="1">
        <v>211.77699999999999</v>
      </c>
      <c r="E34">
        <f>EVEN(D34)</f>
        <v>212</v>
      </c>
      <c r="H34" s="5"/>
      <c r="I34" s="1">
        <v>533.19000000000005</v>
      </c>
      <c r="J34" s="14">
        <f>EVEN(I34)</f>
        <v>534</v>
      </c>
    </row>
    <row r="35" spans="1:10" ht="15.75" customHeight="1">
      <c r="A35" s="7"/>
      <c r="D35" s="1">
        <v>681.87300000000005</v>
      </c>
      <c r="E35">
        <f t="shared" ref="E35:E37" si="2">EVEN(D35)</f>
        <v>682</v>
      </c>
      <c r="H35" s="5"/>
      <c r="I35" s="1">
        <v>219.119</v>
      </c>
      <c r="J35" s="14">
        <f t="shared" ref="J35:J37" si="3">EVEN(I35)</f>
        <v>220</v>
      </c>
    </row>
    <row r="36" spans="1:10" ht="15.75" customHeight="1">
      <c r="A36" s="7"/>
      <c r="D36" s="1">
        <v>11.55</v>
      </c>
      <c r="E36">
        <f t="shared" si="2"/>
        <v>12</v>
      </c>
      <c r="I36" s="1">
        <v>1.2310000000000001</v>
      </c>
      <c r="J36" s="14">
        <f t="shared" si="3"/>
        <v>2</v>
      </c>
    </row>
    <row r="37" spans="1:10" ht="15.75" customHeight="1">
      <c r="A37" s="7"/>
      <c r="D37" s="1">
        <v>99.99</v>
      </c>
      <c r="E37">
        <f t="shared" si="2"/>
        <v>100</v>
      </c>
      <c r="I37" s="1">
        <v>101.133</v>
      </c>
      <c r="J37" s="14">
        <f t="shared" si="3"/>
        <v>102</v>
      </c>
    </row>
    <row r="38" spans="1:10" ht="15.75" customHeight="1">
      <c r="A38" s="7"/>
    </row>
    <row r="39" spans="1:10" ht="15.75" customHeight="1">
      <c r="A39" s="7"/>
      <c r="G39" s="4" t="s">
        <v>34</v>
      </c>
    </row>
    <row r="40" spans="1:10" ht="15.75" customHeight="1">
      <c r="A40" s="7"/>
    </row>
    <row r="41" spans="1:10" ht="15.75" customHeight="1">
      <c r="A41" s="7"/>
      <c r="C41" s="5" t="s">
        <v>2</v>
      </c>
      <c r="D41" s="11" t="s">
        <v>35</v>
      </c>
    </row>
    <row r="42" spans="1:10" ht="15.75" customHeight="1">
      <c r="A42" s="7"/>
      <c r="C42" s="5"/>
    </row>
    <row r="43" spans="1:10" ht="15.75" customHeight="1">
      <c r="A43" s="7"/>
      <c r="C43" s="5" t="s">
        <v>4</v>
      </c>
      <c r="D43" s="12"/>
    </row>
    <row r="44" spans="1:10" ht="15.75" customHeight="1">
      <c r="A44" s="7"/>
      <c r="C44" s="5"/>
    </row>
    <row r="45" spans="1:10" ht="15.75" customHeight="1">
      <c r="A45" s="7"/>
      <c r="C45" s="5" t="s">
        <v>5</v>
      </c>
      <c r="H45" s="5" t="s">
        <v>6</v>
      </c>
    </row>
    <row r="46" spans="1:10" ht="15.75" customHeight="1">
      <c r="A46" s="7"/>
      <c r="C46" s="5"/>
      <c r="H46" s="5"/>
    </row>
    <row r="47" spans="1:10" ht="24" customHeight="1">
      <c r="A47" s="7"/>
      <c r="D47" s="6" t="s">
        <v>7</v>
      </c>
      <c r="E47" s="16" t="s">
        <v>36</v>
      </c>
      <c r="H47" s="5"/>
      <c r="I47" s="6" t="s">
        <v>7</v>
      </c>
      <c r="J47" s="16" t="s">
        <v>36</v>
      </c>
    </row>
    <row r="48" spans="1:10" ht="15.75" customHeight="1">
      <c r="A48" s="7"/>
      <c r="D48" s="1">
        <v>461.75400000000002</v>
      </c>
      <c r="E48" s="1">
        <f>ODD(D48)</f>
        <v>463</v>
      </c>
      <c r="F48" s="1"/>
      <c r="G48" s="1"/>
      <c r="H48" s="1"/>
      <c r="I48" s="1">
        <v>24.113199999999999</v>
      </c>
      <c r="J48" s="14">
        <f>ODD(I48)</f>
        <v>25</v>
      </c>
    </row>
    <row r="49" spans="1:10" ht="15.75" customHeight="1">
      <c r="A49" s="7"/>
      <c r="D49" s="1">
        <v>12.453200000000001</v>
      </c>
      <c r="E49" s="1">
        <f t="shared" ref="E49:E51" si="4">ODD(D49)</f>
        <v>13</v>
      </c>
      <c r="F49" s="1"/>
      <c r="G49" s="1"/>
      <c r="H49" s="1"/>
      <c r="I49" s="1">
        <v>1.76</v>
      </c>
      <c r="J49" s="14">
        <f t="shared" ref="J49:J51" si="5">ODD(I49)</f>
        <v>3</v>
      </c>
    </row>
    <row r="50" spans="1:10" ht="15.75" customHeight="1">
      <c r="A50" s="7"/>
      <c r="D50" s="1">
        <v>6.1133119999999996</v>
      </c>
      <c r="E50" s="1">
        <f t="shared" si="4"/>
        <v>7</v>
      </c>
      <c r="F50" s="1"/>
      <c r="G50" s="1"/>
      <c r="H50" s="1"/>
      <c r="I50" s="1">
        <v>-98999.133000000002</v>
      </c>
      <c r="J50" s="14">
        <f t="shared" si="5"/>
        <v>-99001</v>
      </c>
    </row>
    <row r="51" spans="1:10" ht="15.75" customHeight="1">
      <c r="A51" s="7"/>
      <c r="D51" s="1">
        <v>-132.34899999999999</v>
      </c>
      <c r="E51" s="1">
        <f t="shared" si="4"/>
        <v>-133</v>
      </c>
      <c r="F51" s="1"/>
      <c r="G51" s="1"/>
      <c r="H51" s="1"/>
      <c r="I51" s="1">
        <v>2033.14</v>
      </c>
      <c r="J51" s="14">
        <f t="shared" si="5"/>
        <v>2035</v>
      </c>
    </row>
    <row r="52" spans="1:10" ht="15.75" customHeight="1">
      <c r="A52" s="7"/>
      <c r="D52" s="1"/>
      <c r="E52" s="1"/>
      <c r="F52" s="1"/>
      <c r="G52" s="1"/>
      <c r="H52" s="1"/>
      <c r="I52" s="1"/>
    </row>
    <row r="53" spans="1:10" ht="15.75" customHeight="1">
      <c r="A53" s="7"/>
      <c r="D53" s="1"/>
      <c r="E53" s="1"/>
      <c r="F53" s="1"/>
      <c r="G53" s="1"/>
      <c r="H53" s="1"/>
      <c r="I53" s="1"/>
    </row>
    <row r="54" spans="1:10" ht="15.75" customHeight="1">
      <c r="A54" s="7"/>
    </row>
    <row r="55" spans="1:10" ht="15.75" customHeight="1">
      <c r="A55" s="7"/>
    </row>
    <row r="56" spans="1:10" ht="15.75" customHeight="1">
      <c r="A56" s="7"/>
    </row>
    <row r="57" spans="1:10" ht="15.75" customHeight="1">
      <c r="A57" s="7"/>
    </row>
    <row r="58" spans="1:10" ht="15.75" customHeight="1">
      <c r="A58" s="7"/>
    </row>
    <row r="59" spans="1:10" ht="15.75" customHeight="1">
      <c r="A59" s="7"/>
    </row>
    <row r="60" spans="1:10" ht="15.75" customHeight="1">
      <c r="A60" s="7"/>
    </row>
    <row r="61" spans="1:10" ht="15.75" customHeight="1">
      <c r="A61" s="7"/>
    </row>
    <row r="62" spans="1:10" ht="15.75" customHeight="1">
      <c r="A62" s="7"/>
    </row>
    <row r="63" spans="1:10" ht="15.75" customHeight="1">
      <c r="A63" s="7"/>
    </row>
    <row r="64" spans="1:10" ht="15.75" customHeight="1">
      <c r="A64" s="7"/>
    </row>
    <row r="65" spans="1:1" ht="15.75" customHeight="1">
      <c r="A65" s="7"/>
    </row>
    <row r="66" spans="1:1" ht="15.75" customHeight="1">
      <c r="A66" s="7"/>
    </row>
    <row r="67" spans="1:1" ht="15.75" customHeight="1">
      <c r="A67" s="7"/>
    </row>
    <row r="68" spans="1:1" ht="15.75" customHeight="1">
      <c r="A68" s="7"/>
    </row>
    <row r="69" spans="1:1" ht="15.75" customHeight="1">
      <c r="A69" s="7"/>
    </row>
    <row r="70" spans="1:1" ht="15.75" customHeight="1">
      <c r="A70" s="7"/>
    </row>
    <row r="71" spans="1:1" ht="15.75" customHeight="1">
      <c r="A71" s="7"/>
    </row>
    <row r="72" spans="1:1" ht="15.75" customHeight="1">
      <c r="A72" s="7"/>
    </row>
    <row r="73" spans="1:1" ht="15.75" customHeight="1">
      <c r="A73" s="7"/>
    </row>
    <row r="74" spans="1:1" ht="15.75" customHeight="1">
      <c r="A74" s="7"/>
    </row>
    <row r="75" spans="1:1" ht="15.75" customHeight="1">
      <c r="A75" s="7"/>
    </row>
    <row r="76" spans="1:1" ht="15.75" customHeight="1">
      <c r="A76" s="7"/>
    </row>
    <row r="77" spans="1:1" ht="15.75" customHeight="1">
      <c r="A77" s="7"/>
    </row>
    <row r="78" spans="1:1" ht="15.75" customHeight="1">
      <c r="A78" s="7"/>
    </row>
    <row r="79" spans="1:1" ht="15.75" customHeight="1">
      <c r="A79" s="7"/>
    </row>
    <row r="80" spans="1:1" ht="15.75" customHeight="1">
      <c r="A80" s="7"/>
    </row>
    <row r="81" spans="1:1" ht="15.75" customHeight="1">
      <c r="A81" s="7"/>
    </row>
    <row r="82" spans="1:1" ht="15.75" customHeight="1">
      <c r="A82" s="7"/>
    </row>
    <row r="83" spans="1:1" ht="15.75" customHeight="1">
      <c r="A83" s="7"/>
    </row>
    <row r="84" spans="1:1" ht="15.75" customHeight="1">
      <c r="A84" s="7"/>
    </row>
    <row r="85" spans="1:1" ht="15.75" customHeight="1">
      <c r="A85" s="7"/>
    </row>
    <row r="86" spans="1:1" ht="15.75" customHeight="1">
      <c r="A86" s="7"/>
    </row>
    <row r="87" spans="1:1" ht="15.75" customHeight="1">
      <c r="A87" s="7"/>
    </row>
    <row r="88" spans="1:1" ht="15.75" customHeight="1">
      <c r="A88" s="7"/>
    </row>
    <row r="89" spans="1:1" ht="15.75" customHeight="1">
      <c r="A89" s="7"/>
    </row>
    <row r="90" spans="1:1" ht="15.75" customHeight="1">
      <c r="A90" s="7"/>
    </row>
    <row r="91" spans="1:1" ht="15.75" customHeight="1">
      <c r="A91" s="7"/>
    </row>
    <row r="92" spans="1:1" ht="15.75" customHeight="1">
      <c r="A92" s="7"/>
    </row>
    <row r="93" spans="1:1" ht="15.75" customHeight="1">
      <c r="A93" s="7"/>
    </row>
    <row r="94" spans="1:1" ht="15.75" customHeight="1">
      <c r="A94" s="7"/>
    </row>
    <row r="95" spans="1:1" ht="15.75" customHeight="1">
      <c r="A95" s="7"/>
    </row>
    <row r="96" spans="1:1" ht="15.75" customHeight="1">
      <c r="A96" s="7"/>
    </row>
    <row r="97" spans="1:1" ht="15.75" customHeight="1">
      <c r="A97" s="7"/>
    </row>
    <row r="98" spans="1:1" ht="15.75" customHeight="1">
      <c r="A98" s="7"/>
    </row>
    <row r="99" spans="1:1" ht="15.75" customHeight="1">
      <c r="A99" s="7"/>
    </row>
    <row r="100" spans="1:1" ht="15.75" customHeight="1">
      <c r="A100" s="7"/>
    </row>
    <row r="101" spans="1:1" ht="15.75" customHeight="1">
      <c r="A101" s="7"/>
    </row>
    <row r="102" spans="1:1" ht="15.75" customHeight="1">
      <c r="A102" s="7"/>
    </row>
    <row r="103" spans="1:1" ht="15.75" customHeight="1">
      <c r="A103" s="7"/>
    </row>
    <row r="104" spans="1:1" ht="15.75" customHeight="1">
      <c r="A104" s="7"/>
    </row>
    <row r="105" spans="1:1" ht="15.75" customHeight="1">
      <c r="A105" s="7"/>
    </row>
    <row r="106" spans="1:1" ht="15.75" customHeight="1">
      <c r="A106" s="7"/>
    </row>
    <row r="107" spans="1:1" ht="15.75" customHeight="1">
      <c r="A107" s="7"/>
    </row>
    <row r="108" spans="1:1" ht="15.75" customHeight="1">
      <c r="A108" s="7"/>
    </row>
    <row r="109" spans="1:1" ht="15.75" customHeight="1">
      <c r="A109" s="7"/>
    </row>
    <row r="110" spans="1:1" ht="15.75" customHeight="1">
      <c r="A110" s="7"/>
    </row>
    <row r="111" spans="1:1" ht="15.75" customHeight="1">
      <c r="A111" s="7"/>
    </row>
    <row r="112" spans="1:1" ht="15.75" customHeight="1">
      <c r="A112" s="7"/>
    </row>
    <row r="113" spans="1:1" ht="15.75" customHeight="1">
      <c r="A113" s="7"/>
    </row>
    <row r="114" spans="1:1" ht="15.75" customHeight="1">
      <c r="A114" s="7"/>
    </row>
    <row r="115" spans="1:1" ht="15.75" customHeight="1">
      <c r="A115" s="7"/>
    </row>
    <row r="116" spans="1:1" ht="15.75" customHeight="1">
      <c r="A116" s="7"/>
    </row>
    <row r="117" spans="1:1" ht="15.75" customHeight="1">
      <c r="A117" s="7"/>
    </row>
    <row r="118" spans="1:1" ht="15.75" customHeight="1">
      <c r="A118" s="7"/>
    </row>
    <row r="119" spans="1:1" ht="15.75" customHeight="1">
      <c r="A119" s="7"/>
    </row>
    <row r="120" spans="1:1" ht="15.75" customHeight="1">
      <c r="A120" s="7"/>
    </row>
    <row r="121" spans="1:1" ht="15.75" customHeight="1">
      <c r="A121" s="7"/>
    </row>
    <row r="122" spans="1:1" ht="15.75" customHeight="1">
      <c r="A122" s="7"/>
    </row>
    <row r="123" spans="1:1" ht="15.75" customHeight="1">
      <c r="A123" s="7"/>
    </row>
    <row r="124" spans="1:1" ht="15.75" customHeight="1">
      <c r="A124" s="7"/>
    </row>
    <row r="125" spans="1:1" ht="15.75" customHeight="1">
      <c r="A125" s="7"/>
    </row>
    <row r="126" spans="1:1" ht="15.75" customHeight="1">
      <c r="A126" s="7"/>
    </row>
    <row r="127" spans="1:1" ht="15.75" customHeight="1">
      <c r="A127" s="7"/>
    </row>
    <row r="128" spans="1:1" ht="15.75" customHeight="1">
      <c r="A128" s="7"/>
    </row>
    <row r="129" spans="1:1" ht="15.75" customHeight="1">
      <c r="A129" s="7"/>
    </row>
    <row r="130" spans="1:1" ht="15.75" customHeight="1">
      <c r="A130" s="7"/>
    </row>
    <row r="131" spans="1:1" ht="15.75" customHeight="1">
      <c r="A131" s="7"/>
    </row>
    <row r="132" spans="1:1" ht="15.75" customHeight="1">
      <c r="A132" s="7"/>
    </row>
    <row r="133" spans="1:1" ht="15.75" customHeight="1">
      <c r="A133" s="7"/>
    </row>
    <row r="134" spans="1:1" ht="15.75" customHeight="1">
      <c r="A134" s="7"/>
    </row>
    <row r="135" spans="1:1" ht="15.75" customHeight="1">
      <c r="A135" s="7"/>
    </row>
    <row r="136" spans="1:1" ht="15.75" customHeight="1">
      <c r="A136" s="7"/>
    </row>
    <row r="137" spans="1:1" ht="15.75" customHeight="1">
      <c r="A137" s="7"/>
    </row>
    <row r="138" spans="1:1" ht="15.75" customHeight="1">
      <c r="A138" s="7"/>
    </row>
    <row r="139" spans="1:1" ht="15.75" customHeight="1">
      <c r="A139" s="7"/>
    </row>
    <row r="140" spans="1:1" ht="15.75" customHeight="1">
      <c r="A140" s="7"/>
    </row>
    <row r="141" spans="1:1" ht="15.75" customHeight="1">
      <c r="A141" s="7"/>
    </row>
    <row r="142" spans="1:1" ht="15.75" customHeight="1">
      <c r="A142" s="7"/>
    </row>
    <row r="143" spans="1:1" ht="15.75" customHeight="1">
      <c r="A143" s="7"/>
    </row>
    <row r="144" spans="1:1" ht="15.75" customHeight="1">
      <c r="A144" s="7"/>
    </row>
    <row r="145" spans="1:1" ht="15.75" customHeight="1">
      <c r="A145" s="7"/>
    </row>
    <row r="146" spans="1:1" ht="15.75" customHeight="1">
      <c r="A146" s="7"/>
    </row>
    <row r="147" spans="1:1" ht="15.75" customHeight="1">
      <c r="A147" s="7"/>
    </row>
    <row r="148" spans="1:1" ht="15.75" customHeight="1">
      <c r="A148" s="7"/>
    </row>
    <row r="149" spans="1:1" ht="15.75" customHeight="1">
      <c r="A149" s="7"/>
    </row>
    <row r="150" spans="1:1" ht="15.75" customHeight="1">
      <c r="A150" s="7"/>
    </row>
    <row r="151" spans="1:1" ht="15.75" customHeight="1">
      <c r="A151" s="7"/>
    </row>
    <row r="152" spans="1:1" ht="15.75" customHeight="1">
      <c r="A152" s="7"/>
    </row>
    <row r="153" spans="1:1" ht="15.75" customHeight="1">
      <c r="A153" s="7"/>
    </row>
    <row r="154" spans="1:1" ht="15.75" customHeight="1">
      <c r="A154" s="7"/>
    </row>
    <row r="155" spans="1:1" ht="15.75" customHeight="1">
      <c r="A155" s="7"/>
    </row>
    <row r="156" spans="1:1" ht="15.75" customHeight="1">
      <c r="A156" s="7"/>
    </row>
    <row r="157" spans="1:1" ht="15.75" customHeight="1">
      <c r="A157" s="7"/>
    </row>
    <row r="158" spans="1:1" ht="15.75" customHeight="1">
      <c r="A158" s="7"/>
    </row>
    <row r="159" spans="1:1" ht="15.75" customHeight="1">
      <c r="A159" s="7"/>
    </row>
    <row r="160" spans="1:1" ht="15.75" customHeight="1">
      <c r="A160" s="7"/>
    </row>
    <row r="161" spans="1:1" ht="15.75" customHeight="1">
      <c r="A161" s="7"/>
    </row>
    <row r="162" spans="1:1" ht="15.75" customHeight="1">
      <c r="A162" s="7"/>
    </row>
    <row r="163" spans="1:1" ht="15.75" customHeight="1">
      <c r="A163" s="7"/>
    </row>
    <row r="164" spans="1:1" ht="15.75" customHeight="1">
      <c r="A164" s="7"/>
    </row>
    <row r="165" spans="1:1" ht="15.75" customHeight="1">
      <c r="A165" s="7"/>
    </row>
    <row r="166" spans="1:1" ht="15.75" customHeight="1">
      <c r="A166" s="7"/>
    </row>
    <row r="167" spans="1:1" ht="15.75" customHeight="1">
      <c r="A167" s="7"/>
    </row>
    <row r="168" spans="1:1" ht="15.75" customHeight="1">
      <c r="A168" s="7"/>
    </row>
    <row r="169" spans="1:1" ht="15.75" customHeight="1">
      <c r="A169" s="7"/>
    </row>
    <row r="170" spans="1:1" ht="15.75" customHeight="1">
      <c r="A170" s="7"/>
    </row>
    <row r="171" spans="1:1" ht="15.75" customHeight="1">
      <c r="A171" s="7"/>
    </row>
    <row r="172" spans="1:1" ht="15.75" customHeight="1">
      <c r="A172" s="7"/>
    </row>
    <row r="173" spans="1:1" ht="15.75" customHeight="1">
      <c r="A173" s="7"/>
    </row>
    <row r="174" spans="1:1" ht="15.75" customHeight="1">
      <c r="A174" s="7"/>
    </row>
    <row r="175" spans="1:1" ht="15.75" customHeight="1">
      <c r="A175" s="7"/>
    </row>
    <row r="176" spans="1:1" ht="15.75" customHeight="1">
      <c r="A176" s="7"/>
    </row>
    <row r="177" spans="1:1" ht="15.75" customHeight="1">
      <c r="A177" s="7"/>
    </row>
    <row r="178" spans="1:1" ht="15.75" customHeight="1">
      <c r="A178" s="7"/>
    </row>
    <row r="179" spans="1:1" ht="15.75" customHeight="1">
      <c r="A179" s="7"/>
    </row>
    <row r="180" spans="1:1" ht="15.75" customHeight="1">
      <c r="A180" s="7"/>
    </row>
    <row r="181" spans="1:1" ht="15.75" customHeight="1">
      <c r="A181" s="7"/>
    </row>
    <row r="182" spans="1:1" ht="15.75" customHeight="1">
      <c r="A182" s="7"/>
    </row>
    <row r="183" spans="1:1" ht="15.75" customHeight="1">
      <c r="A183" s="7"/>
    </row>
    <row r="184" spans="1:1" ht="15.75" customHeight="1">
      <c r="A184" s="7"/>
    </row>
    <row r="185" spans="1:1" ht="15.75" customHeight="1">
      <c r="A185" s="7"/>
    </row>
    <row r="186" spans="1:1" ht="15.75" customHeight="1">
      <c r="A186" s="7"/>
    </row>
    <row r="187" spans="1:1" ht="15.75" customHeight="1">
      <c r="A187" s="7"/>
    </row>
    <row r="188" spans="1:1" ht="15.75" customHeight="1">
      <c r="A188" s="7"/>
    </row>
    <row r="189" spans="1:1" ht="15.75" customHeight="1">
      <c r="A189" s="7"/>
    </row>
    <row r="190" spans="1:1" ht="15.75" customHeight="1">
      <c r="A190" s="7"/>
    </row>
    <row r="191" spans="1:1" ht="15.75" customHeight="1">
      <c r="A191" s="7"/>
    </row>
    <row r="192" spans="1:1" ht="15.75" customHeight="1">
      <c r="A192" s="7"/>
    </row>
    <row r="193" spans="1:1" ht="15.75" customHeight="1">
      <c r="A193" s="7"/>
    </row>
    <row r="194" spans="1:1" ht="15.75" customHeight="1">
      <c r="A194" s="7"/>
    </row>
    <row r="195" spans="1:1" ht="15.75" customHeight="1">
      <c r="A195" s="7"/>
    </row>
    <row r="196" spans="1:1" ht="15.75" customHeight="1">
      <c r="A196" s="7"/>
    </row>
    <row r="197" spans="1:1" ht="15.75" customHeight="1">
      <c r="A197" s="7"/>
    </row>
    <row r="198" spans="1:1" ht="15.75" customHeight="1">
      <c r="A198" s="7"/>
    </row>
    <row r="199" spans="1:1" ht="15.75" customHeight="1">
      <c r="A199" s="7"/>
    </row>
    <row r="200" spans="1:1" ht="15.75" customHeight="1">
      <c r="A200" s="7"/>
    </row>
    <row r="201" spans="1:1" ht="15.75" customHeight="1">
      <c r="A201" s="7"/>
    </row>
    <row r="202" spans="1:1" ht="15.75" customHeight="1">
      <c r="A202" s="7"/>
    </row>
    <row r="203" spans="1:1" ht="15.75" customHeight="1">
      <c r="A203" s="7"/>
    </row>
    <row r="204" spans="1:1" ht="15.75" customHeight="1">
      <c r="A204" s="7"/>
    </row>
    <row r="205" spans="1:1" ht="15.75" customHeight="1">
      <c r="A205" s="7"/>
    </row>
    <row r="206" spans="1:1" ht="15.75" customHeight="1">
      <c r="A206" s="7"/>
    </row>
    <row r="207" spans="1:1" ht="15.75" customHeight="1">
      <c r="A207" s="7"/>
    </row>
    <row r="208" spans="1:1" ht="15.75" customHeight="1">
      <c r="A208" s="7"/>
    </row>
    <row r="209" spans="1:1" ht="15.75" customHeight="1">
      <c r="A209" s="7"/>
    </row>
    <row r="210" spans="1:1" ht="15.75" customHeight="1">
      <c r="A210" s="7"/>
    </row>
    <row r="211" spans="1:1" ht="15.75" customHeight="1">
      <c r="A211" s="7"/>
    </row>
    <row r="212" spans="1:1" ht="15.75" customHeight="1">
      <c r="A212" s="7"/>
    </row>
    <row r="213" spans="1:1" ht="15.75" customHeight="1">
      <c r="A213" s="7"/>
    </row>
    <row r="214" spans="1:1" ht="15.75" customHeight="1">
      <c r="A214" s="7"/>
    </row>
    <row r="215" spans="1:1" ht="15.75" customHeight="1">
      <c r="A215" s="7"/>
    </row>
    <row r="216" spans="1:1" ht="15.75" customHeight="1">
      <c r="A216" s="7"/>
    </row>
    <row r="217" spans="1:1" ht="15.75" customHeight="1">
      <c r="A217" s="7"/>
    </row>
    <row r="218" spans="1:1" ht="15.75" customHeight="1">
      <c r="A218" s="7"/>
    </row>
    <row r="219" spans="1:1" ht="15.75" customHeight="1">
      <c r="A219" s="7"/>
    </row>
    <row r="220" spans="1:1" ht="15.75" customHeight="1">
      <c r="A220" s="7"/>
    </row>
    <row r="221" spans="1:1" ht="15.75" customHeight="1">
      <c r="A221" s="7"/>
    </row>
    <row r="222" spans="1:1" ht="15.75" customHeight="1">
      <c r="A222" s="7"/>
    </row>
    <row r="223" spans="1:1" ht="15.75" customHeight="1">
      <c r="A223" s="7"/>
    </row>
    <row r="224" spans="1:1" ht="15.75" customHeight="1">
      <c r="A224" s="7"/>
    </row>
    <row r="225" spans="1:1" ht="15.75" customHeight="1">
      <c r="A225" s="7"/>
    </row>
    <row r="226" spans="1:1" ht="15.75" customHeight="1">
      <c r="A226" s="7"/>
    </row>
    <row r="227" spans="1:1" ht="15.75" customHeight="1">
      <c r="A227" s="7"/>
    </row>
    <row r="228" spans="1:1" ht="15.75" customHeight="1">
      <c r="A228" s="7"/>
    </row>
    <row r="229" spans="1:1" ht="15.75" customHeight="1">
      <c r="A229" s="7"/>
    </row>
    <row r="230" spans="1:1" ht="15.75" customHeight="1">
      <c r="A230" s="7"/>
    </row>
    <row r="231" spans="1:1" ht="15.75" customHeight="1">
      <c r="A231" s="7"/>
    </row>
    <row r="232" spans="1:1" ht="15.75" customHeight="1">
      <c r="A232" s="7"/>
    </row>
    <row r="233" spans="1:1" ht="15.75" customHeight="1">
      <c r="A233" s="7"/>
    </row>
    <row r="234" spans="1:1" ht="15.75" customHeight="1">
      <c r="A234" s="7"/>
    </row>
    <row r="235" spans="1:1" ht="15.75" customHeight="1">
      <c r="A235" s="7"/>
    </row>
    <row r="236" spans="1:1" ht="15.75" customHeight="1">
      <c r="A236" s="7"/>
    </row>
    <row r="237" spans="1:1" ht="15.75" customHeight="1">
      <c r="A237" s="7"/>
    </row>
    <row r="238" spans="1:1" ht="15.75" customHeight="1">
      <c r="A238" s="7"/>
    </row>
    <row r="239" spans="1:1" ht="15.75" customHeight="1">
      <c r="A239" s="7"/>
    </row>
    <row r="240" spans="1:1" ht="15.75" customHeight="1">
      <c r="A240" s="7"/>
    </row>
    <row r="241" spans="1:1" ht="15.75" customHeight="1">
      <c r="A241" s="7"/>
    </row>
    <row r="242" spans="1:1" ht="15.75" customHeight="1">
      <c r="A242" s="7"/>
    </row>
    <row r="243" spans="1:1" ht="15.75" customHeight="1">
      <c r="A243" s="7"/>
    </row>
    <row r="244" spans="1:1" ht="15.75" customHeight="1">
      <c r="A244" s="7"/>
    </row>
    <row r="245" spans="1:1" ht="15.75" customHeight="1">
      <c r="A245" s="7"/>
    </row>
    <row r="246" spans="1:1" ht="15.75" customHeight="1">
      <c r="A246" s="7"/>
    </row>
    <row r="247" spans="1:1" ht="15.75" customHeight="1">
      <c r="A247" s="7"/>
    </row>
    <row r="248" spans="1:1" ht="15.75" customHeight="1">
      <c r="A248" s="7"/>
    </row>
    <row r="249" spans="1:1" ht="15.75" customHeight="1">
      <c r="A249" s="7"/>
    </row>
    <row r="250" spans="1:1" ht="15.75" customHeight="1">
      <c r="A250" s="7"/>
    </row>
    <row r="251" spans="1:1" ht="15.75" customHeight="1">
      <c r="A251" s="7"/>
    </row>
    <row r="252" spans="1:1" ht="15.75" customHeight="1">
      <c r="A252" s="7"/>
    </row>
    <row r="253" spans="1:1" ht="15.75" customHeight="1">
      <c r="A253" s="7"/>
    </row>
    <row r="254" spans="1:1" ht="15.75" customHeight="1">
      <c r="A254" s="7"/>
    </row>
    <row r="255" spans="1:1" ht="15.75" customHeight="1">
      <c r="A255" s="7"/>
    </row>
    <row r="256" spans="1:1" ht="15.75" customHeight="1">
      <c r="A256" s="7"/>
    </row>
    <row r="257" spans="1:1" ht="15.75" customHeight="1">
      <c r="A257" s="7"/>
    </row>
    <row r="258" spans="1:1" ht="15.75" customHeight="1">
      <c r="A258" s="7"/>
    </row>
    <row r="259" spans="1:1" ht="15.75" customHeight="1">
      <c r="A259" s="7"/>
    </row>
    <row r="260" spans="1:1" ht="15.75" customHeight="1">
      <c r="A260" s="7"/>
    </row>
    <row r="261" spans="1:1" ht="15.75" customHeight="1">
      <c r="A261" s="7"/>
    </row>
    <row r="262" spans="1:1" ht="15.75" customHeight="1">
      <c r="A262" s="7"/>
    </row>
    <row r="263" spans="1:1" ht="15.75" customHeight="1">
      <c r="A263" s="7"/>
    </row>
    <row r="264" spans="1:1" ht="15.75" customHeight="1">
      <c r="A264" s="7"/>
    </row>
    <row r="265" spans="1:1" ht="15.75" customHeight="1">
      <c r="A265" s="7"/>
    </row>
    <row r="266" spans="1:1" ht="15.75" customHeight="1">
      <c r="A266" s="7"/>
    </row>
    <row r="267" spans="1:1" ht="15.75" customHeight="1">
      <c r="A267" s="7"/>
    </row>
    <row r="268" spans="1:1" ht="15.75" customHeight="1">
      <c r="A268" s="7"/>
    </row>
    <row r="269" spans="1:1" ht="15.75" customHeight="1">
      <c r="A269" s="7"/>
    </row>
    <row r="270" spans="1:1" ht="15.75" customHeight="1">
      <c r="A270" s="7"/>
    </row>
    <row r="271" spans="1:1" ht="15.75" customHeight="1">
      <c r="A271" s="7"/>
    </row>
    <row r="272" spans="1:1" ht="15.75" customHeight="1">
      <c r="A272" s="7"/>
    </row>
    <row r="273" spans="1:1" ht="15.75" customHeight="1">
      <c r="A273" s="7"/>
    </row>
    <row r="274" spans="1:1" ht="15.75" customHeight="1">
      <c r="A274" s="7"/>
    </row>
    <row r="275" spans="1:1" ht="15.75" customHeight="1">
      <c r="A275" s="7"/>
    </row>
    <row r="276" spans="1:1" ht="15.75" customHeight="1">
      <c r="A276" s="7"/>
    </row>
    <row r="277" spans="1:1" ht="15.75" customHeight="1">
      <c r="A277" s="7"/>
    </row>
    <row r="278" spans="1:1" ht="15.75" customHeight="1">
      <c r="A278" s="7"/>
    </row>
    <row r="279" spans="1:1" ht="15.75" customHeight="1">
      <c r="A279" s="7"/>
    </row>
    <row r="280" spans="1:1" ht="15.75" customHeight="1">
      <c r="A280" s="7"/>
    </row>
    <row r="281" spans="1:1" ht="15.75" customHeight="1">
      <c r="A281" s="7"/>
    </row>
    <row r="282" spans="1:1" ht="15.75" customHeight="1">
      <c r="A282" s="7"/>
    </row>
    <row r="283" spans="1:1" ht="15.75" customHeight="1">
      <c r="A283" s="7"/>
    </row>
    <row r="284" spans="1:1" ht="15.75" customHeight="1">
      <c r="A284" s="7"/>
    </row>
    <row r="285" spans="1:1" ht="15.75" customHeight="1">
      <c r="A285" s="7"/>
    </row>
    <row r="286" spans="1:1" ht="15.75" customHeight="1">
      <c r="A286" s="7"/>
    </row>
    <row r="287" spans="1:1" ht="15.75" customHeight="1">
      <c r="A287" s="7"/>
    </row>
    <row r="288" spans="1:1" ht="15.75" customHeight="1">
      <c r="A288" s="7"/>
    </row>
    <row r="289" spans="1:1" ht="15.75" customHeight="1">
      <c r="A289" s="7"/>
    </row>
    <row r="290" spans="1:1" ht="15.75" customHeight="1">
      <c r="A290" s="7"/>
    </row>
    <row r="291" spans="1:1" ht="15.75" customHeight="1">
      <c r="A291" s="7"/>
    </row>
    <row r="292" spans="1:1" ht="15.75" customHeight="1">
      <c r="A292" s="7"/>
    </row>
    <row r="293" spans="1:1" ht="15.75" customHeight="1">
      <c r="A293" s="7"/>
    </row>
    <row r="294" spans="1:1" ht="15.75" customHeight="1">
      <c r="A294" s="7"/>
    </row>
    <row r="295" spans="1:1" ht="15.75" customHeight="1">
      <c r="A295" s="7"/>
    </row>
    <row r="296" spans="1:1" ht="15.75" customHeight="1">
      <c r="A296" s="7"/>
    </row>
    <row r="297" spans="1:1" ht="15.75" customHeight="1">
      <c r="A297" s="7"/>
    </row>
    <row r="298" spans="1:1" ht="15.75" customHeight="1">
      <c r="A298" s="7"/>
    </row>
    <row r="299" spans="1:1" ht="15.75" customHeight="1">
      <c r="A299" s="7"/>
    </row>
    <row r="300" spans="1:1" ht="15.75" customHeight="1">
      <c r="A300" s="7"/>
    </row>
    <row r="301" spans="1:1" ht="15.75" customHeight="1">
      <c r="A301" s="7"/>
    </row>
    <row r="302" spans="1:1" ht="15.75" customHeight="1">
      <c r="A302" s="7"/>
    </row>
    <row r="303" spans="1:1" ht="15.75" customHeight="1">
      <c r="A303" s="7"/>
    </row>
    <row r="304" spans="1:1" ht="15.75" customHeight="1">
      <c r="A304" s="7"/>
    </row>
    <row r="305" spans="1:1" ht="15.75" customHeight="1">
      <c r="A305" s="7"/>
    </row>
    <row r="306" spans="1:1" ht="15.75" customHeight="1">
      <c r="A306" s="7"/>
    </row>
    <row r="307" spans="1:1" ht="15.75" customHeight="1">
      <c r="A307" s="7"/>
    </row>
    <row r="308" spans="1:1" ht="15.75" customHeight="1">
      <c r="A308" s="7"/>
    </row>
    <row r="309" spans="1:1" ht="15.75" customHeight="1">
      <c r="A309" s="7"/>
    </row>
    <row r="310" spans="1:1" ht="15.75" customHeight="1">
      <c r="A310" s="7"/>
    </row>
    <row r="311" spans="1:1" ht="15.75" customHeight="1">
      <c r="A311" s="7"/>
    </row>
    <row r="312" spans="1:1" ht="15.75" customHeight="1">
      <c r="A312" s="7"/>
    </row>
    <row r="313" spans="1:1" ht="15.75" customHeight="1">
      <c r="A313" s="7"/>
    </row>
    <row r="314" spans="1:1" ht="15.75" customHeight="1">
      <c r="A314" s="7"/>
    </row>
    <row r="315" spans="1:1" ht="15.75" customHeight="1">
      <c r="A315" s="7"/>
    </row>
    <row r="316" spans="1:1" ht="15.75" customHeight="1">
      <c r="A316" s="7"/>
    </row>
    <row r="317" spans="1:1" ht="15.75" customHeight="1">
      <c r="A317" s="7"/>
    </row>
    <row r="318" spans="1:1" ht="15.75" customHeight="1">
      <c r="A318" s="7"/>
    </row>
    <row r="319" spans="1:1" ht="15.75" customHeight="1">
      <c r="A319" s="7"/>
    </row>
    <row r="320" spans="1:1" ht="15.75" customHeight="1">
      <c r="A320" s="7"/>
    </row>
    <row r="321" spans="1:1" ht="15.75" customHeight="1">
      <c r="A321" s="7"/>
    </row>
    <row r="322" spans="1:1" ht="15.75" customHeight="1">
      <c r="A322" s="7"/>
    </row>
    <row r="323" spans="1:1" ht="15.75" customHeight="1">
      <c r="A323" s="7"/>
    </row>
    <row r="324" spans="1:1" ht="15.75" customHeight="1">
      <c r="A324" s="7"/>
    </row>
    <row r="325" spans="1:1" ht="15.75" customHeight="1">
      <c r="A325" s="7"/>
    </row>
    <row r="326" spans="1:1" ht="15.75" customHeight="1">
      <c r="A326" s="7"/>
    </row>
    <row r="327" spans="1:1" ht="15.75" customHeight="1">
      <c r="A327" s="7"/>
    </row>
    <row r="328" spans="1:1" ht="15.75" customHeight="1">
      <c r="A328" s="7"/>
    </row>
    <row r="329" spans="1:1" ht="15.75" customHeight="1">
      <c r="A329" s="7"/>
    </row>
    <row r="330" spans="1:1" ht="15.75" customHeight="1">
      <c r="A330" s="7"/>
    </row>
    <row r="331" spans="1:1" ht="15.75" customHeight="1">
      <c r="A331" s="7"/>
    </row>
    <row r="332" spans="1:1" ht="15.75" customHeight="1">
      <c r="A332" s="7"/>
    </row>
    <row r="333" spans="1:1" ht="15.75" customHeight="1">
      <c r="A333" s="7"/>
    </row>
    <row r="334" spans="1:1" ht="15.75" customHeight="1">
      <c r="A334" s="7"/>
    </row>
    <row r="335" spans="1:1" ht="15.75" customHeight="1">
      <c r="A335" s="7"/>
    </row>
    <row r="336" spans="1:1" ht="15.75" customHeight="1">
      <c r="A336" s="7"/>
    </row>
    <row r="337" spans="1:1" ht="15.75" customHeight="1">
      <c r="A337" s="7"/>
    </row>
    <row r="338" spans="1:1" ht="15.75" customHeight="1">
      <c r="A338" s="7"/>
    </row>
    <row r="339" spans="1:1" ht="15.75" customHeight="1">
      <c r="A339" s="7"/>
    </row>
    <row r="340" spans="1:1" ht="15.75" customHeight="1">
      <c r="A340" s="7"/>
    </row>
    <row r="341" spans="1:1" ht="15.75" customHeight="1">
      <c r="A341" s="7"/>
    </row>
    <row r="342" spans="1:1" ht="15.75" customHeight="1">
      <c r="A342" s="7"/>
    </row>
    <row r="343" spans="1:1" ht="15.75" customHeight="1">
      <c r="A343" s="7"/>
    </row>
    <row r="344" spans="1:1" ht="15.75" customHeight="1">
      <c r="A344" s="7"/>
    </row>
    <row r="345" spans="1:1" ht="15.75" customHeight="1">
      <c r="A345" s="7"/>
    </row>
    <row r="346" spans="1:1" ht="15.75" customHeight="1">
      <c r="A346" s="7"/>
    </row>
    <row r="347" spans="1:1" ht="15.75" customHeight="1">
      <c r="A347" s="7"/>
    </row>
    <row r="348" spans="1:1" ht="15.75" customHeight="1">
      <c r="A348" s="7"/>
    </row>
    <row r="349" spans="1:1" ht="15.75" customHeight="1">
      <c r="A349" s="7"/>
    </row>
    <row r="350" spans="1:1" ht="15.75" customHeight="1">
      <c r="A350" s="7"/>
    </row>
    <row r="351" spans="1:1" ht="15.75" customHeight="1">
      <c r="A351" s="7"/>
    </row>
    <row r="352" spans="1:1" ht="15.75" customHeight="1">
      <c r="A352" s="7"/>
    </row>
    <row r="353" spans="1:1" ht="15.75" customHeight="1">
      <c r="A353" s="7"/>
    </row>
    <row r="354" spans="1:1" ht="15.75" customHeight="1">
      <c r="A354" s="7"/>
    </row>
    <row r="355" spans="1:1" ht="15.75" customHeight="1">
      <c r="A355" s="7"/>
    </row>
    <row r="356" spans="1:1" ht="15.75" customHeight="1">
      <c r="A356" s="7"/>
    </row>
    <row r="357" spans="1:1" ht="15.75" customHeight="1">
      <c r="A357" s="7"/>
    </row>
    <row r="358" spans="1:1" ht="15.75" customHeight="1">
      <c r="A358" s="7"/>
    </row>
    <row r="359" spans="1:1" ht="15.75" customHeight="1">
      <c r="A359" s="7"/>
    </row>
    <row r="360" spans="1:1" ht="15.75" customHeight="1">
      <c r="A360" s="7"/>
    </row>
    <row r="361" spans="1:1" ht="15.75" customHeight="1">
      <c r="A361" s="7"/>
    </row>
    <row r="362" spans="1:1" ht="15.75" customHeight="1">
      <c r="A362" s="7"/>
    </row>
    <row r="363" spans="1:1" ht="15.75" customHeight="1">
      <c r="A363" s="7"/>
    </row>
    <row r="364" spans="1:1" ht="15.75" customHeight="1">
      <c r="A364" s="7"/>
    </row>
    <row r="365" spans="1:1" ht="15.75" customHeight="1">
      <c r="A365" s="7"/>
    </row>
    <row r="366" spans="1:1" ht="15.75" customHeight="1">
      <c r="A366" s="7"/>
    </row>
    <row r="367" spans="1:1" ht="15.75" customHeight="1">
      <c r="A367" s="7"/>
    </row>
    <row r="368" spans="1:1" ht="15.75" customHeight="1">
      <c r="A368" s="7"/>
    </row>
    <row r="369" spans="1:1" ht="15.75" customHeight="1">
      <c r="A369" s="7"/>
    </row>
    <row r="370" spans="1:1" ht="15.75" customHeight="1">
      <c r="A370" s="7"/>
    </row>
    <row r="371" spans="1:1" ht="15.75" customHeight="1">
      <c r="A371" s="7"/>
    </row>
    <row r="372" spans="1:1" ht="15.75" customHeight="1">
      <c r="A372" s="7"/>
    </row>
    <row r="373" spans="1:1" ht="15.75" customHeight="1">
      <c r="A373" s="7"/>
    </row>
    <row r="374" spans="1:1" ht="15.75" customHeight="1">
      <c r="A374" s="7"/>
    </row>
    <row r="375" spans="1:1" ht="15.75" customHeight="1">
      <c r="A375" s="7"/>
    </row>
    <row r="376" spans="1:1" ht="15.75" customHeight="1">
      <c r="A376" s="7"/>
    </row>
    <row r="377" spans="1:1" ht="15.75" customHeight="1">
      <c r="A377" s="7"/>
    </row>
    <row r="378" spans="1:1" ht="15.75" customHeight="1">
      <c r="A378" s="7"/>
    </row>
    <row r="379" spans="1:1" ht="15.75" customHeight="1">
      <c r="A379" s="7"/>
    </row>
    <row r="380" spans="1:1" ht="15.75" customHeight="1">
      <c r="A380" s="7"/>
    </row>
    <row r="381" spans="1:1" ht="15.75" customHeight="1">
      <c r="A381" s="7"/>
    </row>
    <row r="382" spans="1:1" ht="15.75" customHeight="1">
      <c r="A382" s="7"/>
    </row>
    <row r="383" spans="1:1" ht="15.75" customHeight="1">
      <c r="A383" s="7"/>
    </row>
    <row r="384" spans="1:1" ht="15.75" customHeight="1">
      <c r="A384" s="7"/>
    </row>
    <row r="385" spans="1:1" ht="15.75" customHeight="1">
      <c r="A385" s="7"/>
    </row>
    <row r="386" spans="1:1" ht="15.75" customHeight="1">
      <c r="A386" s="7"/>
    </row>
    <row r="387" spans="1:1" ht="15.75" customHeight="1">
      <c r="A387" s="7"/>
    </row>
    <row r="388" spans="1:1" ht="15.75" customHeight="1">
      <c r="A388" s="7"/>
    </row>
    <row r="389" spans="1:1" ht="15.75" customHeight="1">
      <c r="A389" s="7"/>
    </row>
    <row r="390" spans="1:1" ht="15.75" customHeight="1">
      <c r="A390" s="7"/>
    </row>
    <row r="391" spans="1:1" ht="15.75" customHeight="1">
      <c r="A391" s="7"/>
    </row>
    <row r="392" spans="1:1" ht="15.75" customHeight="1">
      <c r="A392" s="7"/>
    </row>
    <row r="393" spans="1:1" ht="15.75" customHeight="1">
      <c r="A393" s="7"/>
    </row>
    <row r="394" spans="1:1" ht="15.75" customHeight="1">
      <c r="A394" s="7"/>
    </row>
    <row r="395" spans="1:1" ht="15.75" customHeight="1">
      <c r="A395" s="7"/>
    </row>
    <row r="396" spans="1:1" ht="15.75" customHeight="1">
      <c r="A396" s="7"/>
    </row>
    <row r="397" spans="1:1" ht="15.75" customHeight="1">
      <c r="A397" s="7"/>
    </row>
    <row r="398" spans="1:1" ht="15.75" customHeight="1">
      <c r="A398" s="7"/>
    </row>
    <row r="399" spans="1:1" ht="15.75" customHeight="1">
      <c r="A399" s="7"/>
    </row>
    <row r="400" spans="1:1" ht="15.75" customHeight="1">
      <c r="A400" s="7"/>
    </row>
    <row r="401" spans="1:1" ht="15.75" customHeight="1">
      <c r="A401" s="7"/>
    </row>
    <row r="402" spans="1:1" ht="15.75" customHeight="1">
      <c r="A402" s="7"/>
    </row>
    <row r="403" spans="1:1" ht="15.75" customHeight="1">
      <c r="A403" s="7"/>
    </row>
    <row r="404" spans="1:1" ht="15.75" customHeight="1">
      <c r="A404" s="7"/>
    </row>
    <row r="405" spans="1:1" ht="15.75" customHeight="1">
      <c r="A405" s="7"/>
    </row>
    <row r="406" spans="1:1" ht="15.75" customHeight="1">
      <c r="A406" s="7"/>
    </row>
    <row r="407" spans="1:1" ht="15.75" customHeight="1">
      <c r="A407" s="7"/>
    </row>
    <row r="408" spans="1:1" ht="15.75" customHeight="1">
      <c r="A408" s="7"/>
    </row>
    <row r="409" spans="1:1" ht="15.75" customHeight="1">
      <c r="A409" s="7"/>
    </row>
    <row r="410" spans="1:1" ht="15.75" customHeight="1">
      <c r="A410" s="7"/>
    </row>
    <row r="411" spans="1:1" ht="15.75" customHeight="1">
      <c r="A411" s="7"/>
    </row>
    <row r="412" spans="1:1" ht="15.75" customHeight="1">
      <c r="A412" s="7"/>
    </row>
    <row r="413" spans="1:1" ht="15.75" customHeight="1">
      <c r="A413" s="7"/>
    </row>
    <row r="414" spans="1:1" ht="15.75" customHeight="1">
      <c r="A414" s="7"/>
    </row>
    <row r="415" spans="1:1" ht="15.75" customHeight="1">
      <c r="A415" s="7"/>
    </row>
    <row r="416" spans="1:1" ht="15.75" customHeight="1">
      <c r="A416" s="7"/>
    </row>
    <row r="417" spans="1:1" ht="15.75" customHeight="1">
      <c r="A417" s="7"/>
    </row>
    <row r="418" spans="1:1" ht="15.75" customHeight="1">
      <c r="A418" s="7"/>
    </row>
    <row r="419" spans="1:1" ht="15.75" customHeight="1">
      <c r="A419" s="7"/>
    </row>
    <row r="420" spans="1:1" ht="15.75" customHeight="1">
      <c r="A420" s="7"/>
    </row>
    <row r="421" spans="1:1" ht="15.75" customHeight="1">
      <c r="A421" s="7"/>
    </row>
    <row r="422" spans="1:1" ht="15.75" customHeight="1">
      <c r="A422" s="7"/>
    </row>
    <row r="423" spans="1:1" ht="15.75" customHeight="1">
      <c r="A423" s="7"/>
    </row>
    <row r="424" spans="1:1" ht="15.75" customHeight="1">
      <c r="A424" s="7"/>
    </row>
    <row r="425" spans="1:1" ht="15.75" customHeight="1">
      <c r="A425" s="7"/>
    </row>
    <row r="426" spans="1:1" ht="15.75" customHeight="1">
      <c r="A426" s="7"/>
    </row>
    <row r="427" spans="1:1" ht="15.75" customHeight="1">
      <c r="A427" s="7"/>
    </row>
    <row r="428" spans="1:1" ht="15.75" customHeight="1">
      <c r="A428" s="7"/>
    </row>
    <row r="429" spans="1:1" ht="15.75" customHeight="1">
      <c r="A429" s="7"/>
    </row>
    <row r="430" spans="1:1" ht="15.75" customHeight="1">
      <c r="A430" s="7"/>
    </row>
    <row r="431" spans="1:1" ht="15.75" customHeight="1">
      <c r="A431" s="7"/>
    </row>
    <row r="432" spans="1:1" ht="15.75" customHeight="1">
      <c r="A432" s="7"/>
    </row>
    <row r="433" spans="1:1" ht="15.75" customHeight="1">
      <c r="A433" s="7"/>
    </row>
    <row r="434" spans="1:1" ht="15.75" customHeight="1">
      <c r="A434" s="7"/>
    </row>
    <row r="435" spans="1:1" ht="15.75" customHeight="1">
      <c r="A435" s="7"/>
    </row>
    <row r="436" spans="1:1" ht="15.75" customHeight="1">
      <c r="A436" s="7"/>
    </row>
    <row r="437" spans="1:1" ht="15.75" customHeight="1">
      <c r="A437" s="7"/>
    </row>
    <row r="438" spans="1:1" ht="15.75" customHeight="1">
      <c r="A438" s="7"/>
    </row>
    <row r="439" spans="1:1" ht="15.75" customHeight="1">
      <c r="A439" s="7"/>
    </row>
    <row r="440" spans="1:1" ht="15.75" customHeight="1">
      <c r="A440" s="7"/>
    </row>
    <row r="441" spans="1:1" ht="15.75" customHeight="1">
      <c r="A441" s="7"/>
    </row>
    <row r="442" spans="1:1" ht="15.75" customHeight="1">
      <c r="A442" s="7"/>
    </row>
    <row r="443" spans="1:1" ht="15.75" customHeight="1">
      <c r="A443" s="7"/>
    </row>
    <row r="444" spans="1:1" ht="15.75" customHeight="1">
      <c r="A444" s="7"/>
    </row>
    <row r="445" spans="1:1" ht="15.75" customHeight="1">
      <c r="A445" s="7"/>
    </row>
    <row r="446" spans="1:1" ht="15.75" customHeight="1">
      <c r="A446" s="7"/>
    </row>
    <row r="447" spans="1:1" ht="15.75" customHeight="1">
      <c r="A447" s="7"/>
    </row>
    <row r="448" spans="1:1" ht="15.75" customHeight="1">
      <c r="A448" s="7"/>
    </row>
    <row r="449" spans="1:1" ht="15.75" customHeight="1">
      <c r="A449" s="7"/>
    </row>
    <row r="450" spans="1:1" ht="15.75" customHeight="1">
      <c r="A450" s="7"/>
    </row>
    <row r="451" spans="1:1" ht="15.75" customHeight="1">
      <c r="A451" s="7"/>
    </row>
    <row r="452" spans="1:1" ht="15.75" customHeight="1">
      <c r="A452" s="7"/>
    </row>
    <row r="453" spans="1:1" ht="15.75" customHeight="1">
      <c r="A453" s="7"/>
    </row>
    <row r="454" spans="1:1" ht="15.75" customHeight="1">
      <c r="A454" s="7"/>
    </row>
    <row r="455" spans="1:1" ht="15.75" customHeight="1">
      <c r="A455" s="7"/>
    </row>
    <row r="456" spans="1:1" ht="15.75" customHeight="1">
      <c r="A456" s="7"/>
    </row>
    <row r="457" spans="1:1" ht="15.75" customHeight="1">
      <c r="A457" s="7"/>
    </row>
    <row r="458" spans="1:1" ht="15.75" customHeight="1">
      <c r="A458" s="7"/>
    </row>
    <row r="459" spans="1:1" ht="15.75" customHeight="1">
      <c r="A459" s="7"/>
    </row>
    <row r="460" spans="1:1" ht="15.75" customHeight="1">
      <c r="A460" s="7"/>
    </row>
    <row r="461" spans="1:1" ht="15.75" customHeight="1">
      <c r="A461" s="7"/>
    </row>
    <row r="462" spans="1:1" ht="15.75" customHeight="1">
      <c r="A462" s="7"/>
    </row>
    <row r="463" spans="1:1" ht="15.75" customHeight="1">
      <c r="A463" s="7"/>
    </row>
    <row r="464" spans="1:1" ht="15.75" customHeight="1">
      <c r="A464" s="7"/>
    </row>
    <row r="465" spans="1:1" ht="15.75" customHeight="1">
      <c r="A465" s="7"/>
    </row>
    <row r="466" spans="1:1" ht="15.75" customHeight="1">
      <c r="A466" s="7"/>
    </row>
    <row r="467" spans="1:1" ht="15.75" customHeight="1">
      <c r="A467" s="7"/>
    </row>
    <row r="468" spans="1:1" ht="15.75" customHeight="1">
      <c r="A468" s="7"/>
    </row>
    <row r="469" spans="1:1" ht="15.75" customHeight="1">
      <c r="A469" s="7"/>
    </row>
    <row r="470" spans="1:1" ht="15.75" customHeight="1">
      <c r="A470" s="7"/>
    </row>
    <row r="471" spans="1:1" ht="15.75" customHeight="1">
      <c r="A471" s="7"/>
    </row>
    <row r="472" spans="1:1" ht="15.75" customHeight="1">
      <c r="A472" s="7"/>
    </row>
    <row r="473" spans="1:1" ht="15.75" customHeight="1">
      <c r="A473" s="7"/>
    </row>
    <row r="474" spans="1:1" ht="15.75" customHeight="1">
      <c r="A474" s="7"/>
    </row>
    <row r="475" spans="1:1" ht="15.75" customHeight="1">
      <c r="A475" s="7"/>
    </row>
    <row r="476" spans="1:1" ht="15.75" customHeight="1">
      <c r="A476" s="7"/>
    </row>
    <row r="477" spans="1:1" ht="15.75" customHeight="1">
      <c r="A477" s="7"/>
    </row>
    <row r="478" spans="1:1" ht="15.75" customHeight="1">
      <c r="A478" s="7"/>
    </row>
    <row r="479" spans="1:1" ht="15.75" customHeight="1">
      <c r="A479" s="7"/>
    </row>
    <row r="480" spans="1:1" ht="15.75" customHeight="1">
      <c r="A480" s="7"/>
    </row>
    <row r="481" spans="1:1" ht="15.75" customHeight="1">
      <c r="A481" s="7"/>
    </row>
    <row r="482" spans="1:1" ht="15.75" customHeight="1">
      <c r="A482" s="7"/>
    </row>
    <row r="483" spans="1:1" ht="15.75" customHeight="1">
      <c r="A483" s="7"/>
    </row>
    <row r="484" spans="1:1" ht="15.75" customHeight="1">
      <c r="A484" s="7"/>
    </row>
    <row r="485" spans="1:1" ht="15.75" customHeight="1">
      <c r="A485" s="7"/>
    </row>
    <row r="486" spans="1:1" ht="15.75" customHeight="1">
      <c r="A486" s="7"/>
    </row>
    <row r="487" spans="1:1" ht="15.75" customHeight="1">
      <c r="A487" s="7"/>
    </row>
    <row r="488" spans="1:1" ht="15.75" customHeight="1">
      <c r="A488" s="7"/>
    </row>
    <row r="489" spans="1:1" ht="15.75" customHeight="1">
      <c r="A489" s="7"/>
    </row>
    <row r="490" spans="1:1" ht="15.75" customHeight="1">
      <c r="A490" s="7"/>
    </row>
    <row r="491" spans="1:1" ht="15.75" customHeight="1">
      <c r="A491" s="7"/>
    </row>
    <row r="492" spans="1:1" ht="15.75" customHeight="1">
      <c r="A492" s="7"/>
    </row>
    <row r="493" spans="1:1" ht="15.75" customHeight="1">
      <c r="A493" s="7"/>
    </row>
    <row r="494" spans="1:1" ht="15.75" customHeight="1">
      <c r="A494" s="7"/>
    </row>
    <row r="495" spans="1:1" ht="15.75" customHeight="1">
      <c r="A495" s="7"/>
    </row>
    <row r="496" spans="1:1" ht="15.75" customHeight="1">
      <c r="A496" s="7"/>
    </row>
    <row r="497" spans="1:1" ht="15.75" customHeight="1">
      <c r="A497" s="7"/>
    </row>
    <row r="498" spans="1:1" ht="15.75" customHeight="1">
      <c r="A498" s="7"/>
    </row>
    <row r="499" spans="1:1" ht="15.75" customHeight="1">
      <c r="A499" s="7"/>
    </row>
    <row r="500" spans="1:1" ht="15.75" customHeight="1">
      <c r="A500" s="7"/>
    </row>
    <row r="501" spans="1:1" ht="15.75" customHeight="1">
      <c r="A501" s="7"/>
    </row>
    <row r="502" spans="1:1" ht="15.75" customHeight="1">
      <c r="A502" s="7"/>
    </row>
    <row r="503" spans="1:1" ht="15.75" customHeight="1">
      <c r="A503" s="7"/>
    </row>
    <row r="504" spans="1:1" ht="15.75" customHeight="1">
      <c r="A504" s="7"/>
    </row>
    <row r="505" spans="1:1" ht="15.75" customHeight="1">
      <c r="A505" s="7"/>
    </row>
    <row r="506" spans="1:1" ht="15.75" customHeight="1">
      <c r="A506" s="7"/>
    </row>
    <row r="507" spans="1:1" ht="15.75" customHeight="1">
      <c r="A507" s="7"/>
    </row>
    <row r="508" spans="1:1" ht="15.75" customHeight="1">
      <c r="A508" s="7"/>
    </row>
    <row r="509" spans="1:1" ht="15.75" customHeight="1">
      <c r="A509" s="7"/>
    </row>
    <row r="510" spans="1:1" ht="15.75" customHeight="1">
      <c r="A510" s="7"/>
    </row>
    <row r="511" spans="1:1" ht="15.75" customHeight="1">
      <c r="A511" s="7"/>
    </row>
    <row r="512" spans="1:1" ht="15.75" customHeight="1">
      <c r="A512" s="7"/>
    </row>
    <row r="513" spans="1:1" ht="15.75" customHeight="1">
      <c r="A513" s="7"/>
    </row>
    <row r="514" spans="1:1" ht="15.75" customHeight="1">
      <c r="A514" s="7"/>
    </row>
    <row r="515" spans="1:1" ht="15.75" customHeight="1">
      <c r="A515" s="7"/>
    </row>
    <row r="516" spans="1:1" ht="15.75" customHeight="1">
      <c r="A516" s="7"/>
    </row>
    <row r="517" spans="1:1" ht="15.75" customHeight="1">
      <c r="A517" s="7"/>
    </row>
    <row r="518" spans="1:1" ht="15.75" customHeight="1">
      <c r="A518" s="7"/>
    </row>
    <row r="519" spans="1:1" ht="15.75" customHeight="1">
      <c r="A519" s="7"/>
    </row>
    <row r="520" spans="1:1" ht="15.75" customHeight="1">
      <c r="A520" s="7"/>
    </row>
    <row r="521" spans="1:1" ht="15.75" customHeight="1">
      <c r="A521" s="7"/>
    </row>
    <row r="522" spans="1:1" ht="15.75" customHeight="1">
      <c r="A522" s="7"/>
    </row>
    <row r="523" spans="1:1" ht="15.75" customHeight="1">
      <c r="A523" s="7"/>
    </row>
    <row r="524" spans="1:1" ht="15.75" customHeight="1">
      <c r="A524" s="7"/>
    </row>
    <row r="525" spans="1:1" ht="15.75" customHeight="1">
      <c r="A525" s="7"/>
    </row>
    <row r="526" spans="1:1" ht="15.75" customHeight="1">
      <c r="A526" s="7"/>
    </row>
    <row r="527" spans="1:1" ht="15.75" customHeight="1">
      <c r="A527" s="7"/>
    </row>
    <row r="528" spans="1:1" ht="15.75" customHeight="1">
      <c r="A528" s="7"/>
    </row>
    <row r="529" spans="1:1" ht="15.75" customHeight="1">
      <c r="A529" s="7"/>
    </row>
    <row r="530" spans="1:1" ht="15.75" customHeight="1">
      <c r="A530" s="7"/>
    </row>
    <row r="531" spans="1:1" ht="15.75" customHeight="1">
      <c r="A531" s="7"/>
    </row>
    <row r="532" spans="1:1" ht="15.75" customHeight="1">
      <c r="A532" s="7"/>
    </row>
    <row r="533" spans="1:1" ht="15.75" customHeight="1">
      <c r="A533" s="7"/>
    </row>
    <row r="534" spans="1:1" ht="15.75" customHeight="1">
      <c r="A534" s="7"/>
    </row>
    <row r="535" spans="1:1" ht="15.75" customHeight="1">
      <c r="A535" s="7"/>
    </row>
    <row r="536" spans="1:1" ht="15.75" customHeight="1">
      <c r="A536" s="7"/>
    </row>
    <row r="537" spans="1:1" ht="15.75" customHeight="1">
      <c r="A537" s="7"/>
    </row>
    <row r="538" spans="1:1" ht="15.75" customHeight="1">
      <c r="A538" s="7"/>
    </row>
    <row r="539" spans="1:1" ht="15.75" customHeight="1">
      <c r="A539" s="7"/>
    </row>
    <row r="540" spans="1:1" ht="15.75" customHeight="1">
      <c r="A540" s="7"/>
    </row>
    <row r="541" spans="1:1" ht="15.75" customHeight="1">
      <c r="A541" s="7"/>
    </row>
    <row r="542" spans="1:1" ht="15.75" customHeight="1">
      <c r="A542" s="7"/>
    </row>
    <row r="543" spans="1:1" ht="15.75" customHeight="1">
      <c r="A543" s="7"/>
    </row>
    <row r="544" spans="1:1" ht="15.75" customHeight="1">
      <c r="A544" s="7"/>
    </row>
    <row r="545" spans="1:1" ht="15.75" customHeight="1">
      <c r="A545" s="7"/>
    </row>
    <row r="546" spans="1:1" ht="15.75" customHeight="1">
      <c r="A546" s="7"/>
    </row>
    <row r="547" spans="1:1" ht="15.75" customHeight="1">
      <c r="A547" s="7"/>
    </row>
    <row r="548" spans="1:1" ht="15.75" customHeight="1">
      <c r="A548" s="7"/>
    </row>
    <row r="549" spans="1:1" ht="15.75" customHeight="1">
      <c r="A549" s="7"/>
    </row>
    <row r="550" spans="1:1" ht="15.75" customHeight="1">
      <c r="A550" s="7"/>
    </row>
    <row r="551" spans="1:1" ht="15.75" customHeight="1">
      <c r="A551" s="7"/>
    </row>
    <row r="552" spans="1:1" ht="15.75" customHeight="1">
      <c r="A552" s="7"/>
    </row>
    <row r="553" spans="1:1" ht="15.75" customHeight="1">
      <c r="A553" s="7"/>
    </row>
    <row r="554" spans="1:1" ht="15.75" customHeight="1">
      <c r="A554" s="7"/>
    </row>
    <row r="555" spans="1:1" ht="15.75" customHeight="1">
      <c r="A555" s="7"/>
    </row>
    <row r="556" spans="1:1" ht="15.75" customHeight="1">
      <c r="A556" s="7"/>
    </row>
    <row r="557" spans="1:1" ht="15.75" customHeight="1">
      <c r="A557" s="7"/>
    </row>
    <row r="558" spans="1:1" ht="15.75" customHeight="1">
      <c r="A558" s="7"/>
    </row>
    <row r="559" spans="1:1" ht="15.75" customHeight="1">
      <c r="A559" s="7"/>
    </row>
    <row r="560" spans="1:1" ht="15.75" customHeight="1">
      <c r="A560" s="7"/>
    </row>
    <row r="561" spans="1:1" ht="15.75" customHeight="1">
      <c r="A561" s="7"/>
    </row>
    <row r="562" spans="1:1" ht="15.75" customHeight="1">
      <c r="A562" s="7"/>
    </row>
    <row r="563" spans="1:1" ht="15.75" customHeight="1">
      <c r="A563" s="7"/>
    </row>
    <row r="564" spans="1:1" ht="15.75" customHeight="1">
      <c r="A564" s="7"/>
    </row>
    <row r="565" spans="1:1" ht="15.75" customHeight="1">
      <c r="A565" s="7"/>
    </row>
    <row r="566" spans="1:1" ht="15.75" customHeight="1">
      <c r="A566" s="7"/>
    </row>
    <row r="567" spans="1:1" ht="15.75" customHeight="1">
      <c r="A567" s="7"/>
    </row>
    <row r="568" spans="1:1" ht="15.75" customHeight="1">
      <c r="A568" s="7"/>
    </row>
    <row r="569" spans="1:1" ht="15.75" customHeight="1">
      <c r="A569" s="7"/>
    </row>
    <row r="570" spans="1:1" ht="15.75" customHeight="1">
      <c r="A570" s="7"/>
    </row>
    <row r="571" spans="1:1" ht="15.75" customHeight="1">
      <c r="A571" s="7"/>
    </row>
    <row r="572" spans="1:1" ht="15.75" customHeight="1">
      <c r="A572" s="7"/>
    </row>
    <row r="573" spans="1:1" ht="15.75" customHeight="1">
      <c r="A573" s="7"/>
    </row>
    <row r="574" spans="1:1" ht="15.75" customHeight="1">
      <c r="A574" s="7"/>
    </row>
    <row r="575" spans="1:1" ht="15.75" customHeight="1">
      <c r="A575" s="7"/>
    </row>
    <row r="576" spans="1:1" ht="15.75" customHeight="1">
      <c r="A576" s="7"/>
    </row>
    <row r="577" spans="1:1" ht="15.75" customHeight="1">
      <c r="A577" s="7"/>
    </row>
    <row r="578" spans="1:1" ht="15.75" customHeight="1">
      <c r="A578" s="7"/>
    </row>
    <row r="579" spans="1:1" ht="15.75" customHeight="1">
      <c r="A579" s="7"/>
    </row>
    <row r="580" spans="1:1" ht="15.75" customHeight="1">
      <c r="A580" s="7"/>
    </row>
    <row r="581" spans="1:1" ht="15.75" customHeight="1">
      <c r="A581" s="7"/>
    </row>
    <row r="582" spans="1:1" ht="15.75" customHeight="1">
      <c r="A582" s="7"/>
    </row>
    <row r="583" spans="1:1" ht="15.75" customHeight="1">
      <c r="A583" s="7"/>
    </row>
    <row r="584" spans="1:1" ht="15.75" customHeight="1">
      <c r="A584" s="7"/>
    </row>
    <row r="585" spans="1:1" ht="15.75" customHeight="1">
      <c r="A585" s="7"/>
    </row>
    <row r="586" spans="1:1" ht="15.75" customHeight="1">
      <c r="A586" s="7"/>
    </row>
    <row r="587" spans="1:1" ht="15.75" customHeight="1">
      <c r="A587" s="7"/>
    </row>
    <row r="588" spans="1:1" ht="15.75" customHeight="1">
      <c r="A588" s="7"/>
    </row>
    <row r="589" spans="1:1" ht="15.75" customHeight="1">
      <c r="A589" s="7"/>
    </row>
    <row r="590" spans="1:1" ht="15.75" customHeight="1">
      <c r="A590" s="7"/>
    </row>
    <row r="591" spans="1:1" ht="15.75" customHeight="1">
      <c r="A591" s="7"/>
    </row>
    <row r="592" spans="1:1" ht="15.75" customHeight="1">
      <c r="A592" s="7"/>
    </row>
    <row r="593" spans="1:1" ht="15.75" customHeight="1">
      <c r="A593" s="7"/>
    </row>
    <row r="594" spans="1:1" ht="15.75" customHeight="1">
      <c r="A594" s="7"/>
    </row>
    <row r="595" spans="1:1" ht="15.75" customHeight="1">
      <c r="A595" s="7"/>
    </row>
    <row r="596" spans="1:1" ht="15.75" customHeight="1">
      <c r="A596" s="7"/>
    </row>
    <row r="597" spans="1:1" ht="15.75" customHeight="1">
      <c r="A597" s="7"/>
    </row>
    <row r="598" spans="1:1" ht="15.75" customHeight="1">
      <c r="A598" s="7"/>
    </row>
    <row r="599" spans="1:1" ht="15.75" customHeight="1">
      <c r="A599" s="7"/>
    </row>
    <row r="600" spans="1:1" ht="15.75" customHeight="1">
      <c r="A600" s="7"/>
    </row>
    <row r="601" spans="1:1" ht="15.75" customHeight="1">
      <c r="A601" s="7"/>
    </row>
    <row r="602" spans="1:1" ht="15.75" customHeight="1">
      <c r="A602" s="7"/>
    </row>
    <row r="603" spans="1:1" ht="15.75" customHeight="1">
      <c r="A603" s="7"/>
    </row>
    <row r="604" spans="1:1" ht="15.75" customHeight="1">
      <c r="A604" s="7"/>
    </row>
    <row r="605" spans="1:1" ht="15.75" customHeight="1">
      <c r="A605" s="7"/>
    </row>
    <row r="606" spans="1:1" ht="15.75" customHeight="1">
      <c r="A606" s="7"/>
    </row>
    <row r="607" spans="1:1" ht="15.75" customHeight="1">
      <c r="A607" s="7"/>
    </row>
    <row r="608" spans="1:1" ht="15.75" customHeight="1">
      <c r="A608" s="7"/>
    </row>
    <row r="609" spans="1:1" ht="15.75" customHeight="1">
      <c r="A609" s="7"/>
    </row>
    <row r="610" spans="1:1" ht="15.75" customHeight="1">
      <c r="A610" s="7"/>
    </row>
    <row r="611" spans="1:1" ht="15.75" customHeight="1">
      <c r="A611" s="7"/>
    </row>
    <row r="612" spans="1:1" ht="15.75" customHeight="1">
      <c r="A612" s="7"/>
    </row>
    <row r="613" spans="1:1" ht="15.75" customHeight="1">
      <c r="A613" s="7"/>
    </row>
    <row r="614" spans="1:1" ht="15.75" customHeight="1">
      <c r="A614" s="7"/>
    </row>
    <row r="615" spans="1:1" ht="15.75" customHeight="1">
      <c r="A615" s="7"/>
    </row>
    <row r="616" spans="1:1" ht="15.75" customHeight="1">
      <c r="A616" s="7"/>
    </row>
    <row r="617" spans="1:1" ht="15.75" customHeight="1">
      <c r="A617" s="7"/>
    </row>
    <row r="618" spans="1:1" ht="15.75" customHeight="1">
      <c r="A618" s="7"/>
    </row>
    <row r="619" spans="1:1" ht="15.75" customHeight="1">
      <c r="A619" s="7"/>
    </row>
    <row r="620" spans="1:1" ht="15.75" customHeight="1">
      <c r="A620" s="7"/>
    </row>
    <row r="621" spans="1:1" ht="15.75" customHeight="1">
      <c r="A621" s="7"/>
    </row>
    <row r="622" spans="1:1" ht="15.75" customHeight="1">
      <c r="A622" s="7"/>
    </row>
    <row r="623" spans="1:1" ht="15.75" customHeight="1">
      <c r="A623" s="7"/>
    </row>
    <row r="624" spans="1:1" ht="15.75" customHeight="1">
      <c r="A624" s="7"/>
    </row>
    <row r="625" spans="1:1" ht="15.75" customHeight="1">
      <c r="A625" s="7"/>
    </row>
    <row r="626" spans="1:1" ht="15.75" customHeight="1">
      <c r="A626" s="7"/>
    </row>
    <row r="627" spans="1:1" ht="15.75" customHeight="1">
      <c r="A627" s="7"/>
    </row>
    <row r="628" spans="1:1" ht="15.75" customHeight="1">
      <c r="A628" s="7"/>
    </row>
    <row r="629" spans="1:1" ht="15.75" customHeight="1">
      <c r="A629" s="7"/>
    </row>
    <row r="630" spans="1:1" ht="15.75" customHeight="1">
      <c r="A630" s="7"/>
    </row>
    <row r="631" spans="1:1" ht="15.75" customHeight="1">
      <c r="A631" s="7"/>
    </row>
    <row r="632" spans="1:1" ht="15.75" customHeight="1">
      <c r="A632" s="7"/>
    </row>
    <row r="633" spans="1:1" ht="15.75" customHeight="1">
      <c r="A633" s="7"/>
    </row>
    <row r="634" spans="1:1" ht="15.75" customHeight="1">
      <c r="A634" s="7"/>
    </row>
    <row r="635" spans="1:1" ht="15.75" customHeight="1">
      <c r="A635" s="7"/>
    </row>
    <row r="636" spans="1:1" ht="15.75" customHeight="1">
      <c r="A636" s="7"/>
    </row>
    <row r="637" spans="1:1" ht="15.75" customHeight="1">
      <c r="A637" s="7"/>
    </row>
    <row r="638" spans="1:1" ht="15.75" customHeight="1">
      <c r="A638" s="7"/>
    </row>
    <row r="639" spans="1:1" ht="15.75" customHeight="1">
      <c r="A639" s="7"/>
    </row>
    <row r="640" spans="1:1" ht="15.75" customHeight="1">
      <c r="A640" s="7"/>
    </row>
    <row r="641" spans="1:1" ht="15.75" customHeight="1">
      <c r="A641" s="7"/>
    </row>
    <row r="642" spans="1:1" ht="15.75" customHeight="1">
      <c r="A642" s="7"/>
    </row>
    <row r="643" spans="1:1" ht="15.75" customHeight="1">
      <c r="A643" s="7"/>
    </row>
    <row r="644" spans="1:1" ht="15.75" customHeight="1">
      <c r="A644" s="7"/>
    </row>
    <row r="645" spans="1:1" ht="15.75" customHeight="1">
      <c r="A645" s="7"/>
    </row>
    <row r="646" spans="1:1" ht="15.75" customHeight="1">
      <c r="A646" s="7"/>
    </row>
    <row r="647" spans="1:1" ht="15.75" customHeight="1">
      <c r="A647" s="7"/>
    </row>
    <row r="648" spans="1:1" ht="15.75" customHeight="1">
      <c r="A648" s="7"/>
    </row>
    <row r="649" spans="1:1" ht="15.75" customHeight="1">
      <c r="A649" s="7"/>
    </row>
    <row r="650" spans="1:1" ht="15.75" customHeight="1">
      <c r="A650" s="7"/>
    </row>
    <row r="651" spans="1:1" ht="15.75" customHeight="1">
      <c r="A651" s="7"/>
    </row>
    <row r="652" spans="1:1" ht="15.75" customHeight="1">
      <c r="A652" s="7"/>
    </row>
    <row r="653" spans="1:1" ht="15.75" customHeight="1">
      <c r="A653" s="7"/>
    </row>
    <row r="654" spans="1:1" ht="15.75" customHeight="1">
      <c r="A654" s="7"/>
    </row>
    <row r="655" spans="1:1" ht="15.75" customHeight="1">
      <c r="A655" s="7"/>
    </row>
    <row r="656" spans="1:1" ht="15.75" customHeight="1">
      <c r="A656" s="7"/>
    </row>
    <row r="657" spans="1:1" ht="15.75" customHeight="1">
      <c r="A657" s="7"/>
    </row>
    <row r="658" spans="1:1" ht="15.75" customHeight="1">
      <c r="A658" s="7"/>
    </row>
    <row r="659" spans="1:1" ht="15.75" customHeight="1">
      <c r="A659" s="7"/>
    </row>
    <row r="660" spans="1:1" ht="15.75" customHeight="1">
      <c r="A660" s="7"/>
    </row>
    <row r="661" spans="1:1" ht="15.75" customHeight="1">
      <c r="A661" s="7"/>
    </row>
    <row r="662" spans="1:1" ht="15.75" customHeight="1">
      <c r="A662" s="7"/>
    </row>
    <row r="663" spans="1:1" ht="15.75" customHeight="1">
      <c r="A663" s="7"/>
    </row>
    <row r="664" spans="1:1" ht="15.75" customHeight="1">
      <c r="A664" s="7"/>
    </row>
    <row r="665" spans="1:1" ht="15.75" customHeight="1">
      <c r="A665" s="7"/>
    </row>
    <row r="666" spans="1:1" ht="15.75" customHeight="1">
      <c r="A666" s="7"/>
    </row>
    <row r="667" spans="1:1" ht="15.75" customHeight="1">
      <c r="A667" s="7"/>
    </row>
    <row r="668" spans="1:1" ht="15.75" customHeight="1">
      <c r="A668" s="7"/>
    </row>
    <row r="669" spans="1:1" ht="15.75" customHeight="1">
      <c r="A669" s="7"/>
    </row>
    <row r="670" spans="1:1" ht="15.75" customHeight="1">
      <c r="A670" s="7"/>
    </row>
    <row r="671" spans="1:1" ht="15.75" customHeight="1">
      <c r="A671" s="7"/>
    </row>
    <row r="672" spans="1:1" ht="15.75" customHeight="1">
      <c r="A672" s="7"/>
    </row>
    <row r="673" spans="1:1" ht="15.75" customHeight="1">
      <c r="A673" s="7"/>
    </row>
    <row r="674" spans="1:1" ht="15.75" customHeight="1">
      <c r="A674" s="7"/>
    </row>
    <row r="675" spans="1:1" ht="15.75" customHeight="1">
      <c r="A675" s="7"/>
    </row>
    <row r="676" spans="1:1" ht="15.75" customHeight="1">
      <c r="A676" s="7"/>
    </row>
    <row r="677" spans="1:1" ht="15.75" customHeight="1">
      <c r="A677" s="7"/>
    </row>
    <row r="678" spans="1:1" ht="15.75" customHeight="1">
      <c r="A678" s="7"/>
    </row>
    <row r="679" spans="1:1" ht="15.75" customHeight="1">
      <c r="A679" s="7"/>
    </row>
    <row r="680" spans="1:1" ht="15.75" customHeight="1">
      <c r="A680" s="7"/>
    </row>
    <row r="681" spans="1:1" ht="15.75" customHeight="1">
      <c r="A681" s="7"/>
    </row>
    <row r="682" spans="1:1" ht="15.75" customHeight="1">
      <c r="A682" s="7"/>
    </row>
    <row r="683" spans="1:1" ht="15.75" customHeight="1">
      <c r="A683" s="7"/>
    </row>
    <row r="684" spans="1:1" ht="15.75" customHeight="1">
      <c r="A684" s="7"/>
    </row>
    <row r="685" spans="1:1" ht="15.75" customHeight="1">
      <c r="A685" s="7"/>
    </row>
    <row r="686" spans="1:1" ht="15.75" customHeight="1">
      <c r="A686" s="7"/>
    </row>
    <row r="687" spans="1:1" ht="15.75" customHeight="1">
      <c r="A687" s="7"/>
    </row>
    <row r="688" spans="1:1" ht="15.75" customHeight="1">
      <c r="A688" s="7"/>
    </row>
    <row r="689" spans="1:1" ht="15.75" customHeight="1">
      <c r="A689" s="7"/>
    </row>
    <row r="690" spans="1:1" ht="15.75" customHeight="1">
      <c r="A690" s="7"/>
    </row>
    <row r="691" spans="1:1" ht="15.75" customHeight="1">
      <c r="A691" s="7"/>
    </row>
    <row r="692" spans="1:1" ht="15.75" customHeight="1">
      <c r="A692" s="7"/>
    </row>
    <row r="693" spans="1:1" ht="15.75" customHeight="1">
      <c r="A693" s="7"/>
    </row>
    <row r="694" spans="1:1" ht="15.75" customHeight="1">
      <c r="A694" s="7"/>
    </row>
    <row r="695" spans="1:1" ht="15.75" customHeight="1">
      <c r="A695" s="7"/>
    </row>
    <row r="696" spans="1:1" ht="15.75" customHeight="1">
      <c r="A696" s="7"/>
    </row>
    <row r="697" spans="1:1" ht="15.75" customHeight="1">
      <c r="A697" s="7"/>
    </row>
    <row r="698" spans="1:1" ht="15.75" customHeight="1">
      <c r="A698" s="7"/>
    </row>
    <row r="699" spans="1:1" ht="15.75" customHeight="1">
      <c r="A699" s="7"/>
    </row>
    <row r="700" spans="1:1" ht="15.75" customHeight="1">
      <c r="A700" s="7"/>
    </row>
    <row r="701" spans="1:1" ht="15.75" customHeight="1">
      <c r="A701" s="7"/>
    </row>
    <row r="702" spans="1:1" ht="15.75" customHeight="1">
      <c r="A702" s="7"/>
    </row>
    <row r="703" spans="1:1" ht="15.75" customHeight="1">
      <c r="A703" s="7"/>
    </row>
    <row r="704" spans="1:1" ht="15.75" customHeight="1">
      <c r="A704" s="7"/>
    </row>
    <row r="705" spans="1:1" ht="15.75" customHeight="1">
      <c r="A705" s="7"/>
    </row>
    <row r="706" spans="1:1" ht="15.75" customHeight="1">
      <c r="A706" s="7"/>
    </row>
    <row r="707" spans="1:1" ht="15.75" customHeight="1">
      <c r="A707" s="7"/>
    </row>
    <row r="708" spans="1:1" ht="15.75" customHeight="1">
      <c r="A708" s="7"/>
    </row>
    <row r="709" spans="1:1" ht="15.75" customHeight="1">
      <c r="A709" s="7"/>
    </row>
    <row r="710" spans="1:1" ht="15.75" customHeight="1">
      <c r="A710" s="7"/>
    </row>
    <row r="711" spans="1:1" ht="15.75" customHeight="1">
      <c r="A711" s="7"/>
    </row>
    <row r="712" spans="1:1" ht="15.75" customHeight="1">
      <c r="A712" s="7"/>
    </row>
    <row r="713" spans="1:1" ht="15.75" customHeight="1">
      <c r="A713" s="7"/>
    </row>
    <row r="714" spans="1:1" ht="15.75" customHeight="1">
      <c r="A714" s="7"/>
    </row>
    <row r="715" spans="1:1" ht="15.75" customHeight="1">
      <c r="A715" s="7"/>
    </row>
    <row r="716" spans="1:1" ht="15.75" customHeight="1">
      <c r="A716" s="7"/>
    </row>
    <row r="717" spans="1:1" ht="15.75" customHeight="1">
      <c r="A717" s="7"/>
    </row>
    <row r="718" spans="1:1" ht="15.75" customHeight="1">
      <c r="A718" s="7"/>
    </row>
    <row r="719" spans="1:1" ht="15.75" customHeight="1">
      <c r="A719" s="7"/>
    </row>
    <row r="720" spans="1:1" ht="15.75" customHeight="1">
      <c r="A720" s="7"/>
    </row>
    <row r="721" spans="1:1" ht="15.75" customHeight="1">
      <c r="A721" s="7"/>
    </row>
    <row r="722" spans="1:1" ht="15.75" customHeight="1">
      <c r="A722" s="7"/>
    </row>
    <row r="723" spans="1:1" ht="15.75" customHeight="1">
      <c r="A723" s="7"/>
    </row>
    <row r="724" spans="1:1" ht="15.75" customHeight="1">
      <c r="A724" s="7"/>
    </row>
    <row r="725" spans="1:1" ht="15.75" customHeight="1">
      <c r="A725" s="7"/>
    </row>
    <row r="726" spans="1:1" ht="15.75" customHeight="1">
      <c r="A726" s="7"/>
    </row>
    <row r="727" spans="1:1" ht="15.75" customHeight="1">
      <c r="A727" s="7"/>
    </row>
    <row r="728" spans="1:1" ht="15.75" customHeight="1">
      <c r="A728" s="7"/>
    </row>
    <row r="729" spans="1:1" ht="15.75" customHeight="1">
      <c r="A729" s="7"/>
    </row>
    <row r="730" spans="1:1" ht="15.75" customHeight="1">
      <c r="A730" s="7"/>
    </row>
    <row r="731" spans="1:1" ht="15.75" customHeight="1">
      <c r="A731" s="7"/>
    </row>
    <row r="732" spans="1:1" ht="15.75" customHeight="1">
      <c r="A732" s="7"/>
    </row>
    <row r="733" spans="1:1" ht="15.75" customHeight="1">
      <c r="A733" s="7"/>
    </row>
    <row r="734" spans="1:1" ht="15.75" customHeight="1">
      <c r="A734" s="7"/>
    </row>
    <row r="735" spans="1:1" ht="15.75" customHeight="1">
      <c r="A735" s="7"/>
    </row>
    <row r="736" spans="1:1" ht="15.75" customHeight="1">
      <c r="A736" s="7"/>
    </row>
    <row r="737" spans="1:1" ht="15.75" customHeight="1">
      <c r="A737" s="7"/>
    </row>
    <row r="738" spans="1:1" ht="15.75" customHeight="1">
      <c r="A738" s="7"/>
    </row>
    <row r="739" spans="1:1" ht="15.75" customHeight="1">
      <c r="A739" s="7"/>
    </row>
    <row r="740" spans="1:1" ht="15.75" customHeight="1">
      <c r="A740" s="7"/>
    </row>
    <row r="741" spans="1:1" ht="15.75" customHeight="1">
      <c r="A741" s="7"/>
    </row>
    <row r="742" spans="1:1" ht="15.75" customHeight="1">
      <c r="A742" s="7"/>
    </row>
    <row r="743" spans="1:1" ht="15.75" customHeight="1">
      <c r="A743" s="7"/>
    </row>
    <row r="744" spans="1:1" ht="15.75" customHeight="1">
      <c r="A744" s="7"/>
    </row>
    <row r="745" spans="1:1" ht="15.75" customHeight="1">
      <c r="A745" s="7"/>
    </row>
    <row r="746" spans="1:1" ht="15.75" customHeight="1">
      <c r="A746" s="7"/>
    </row>
    <row r="747" spans="1:1" ht="15.75" customHeight="1">
      <c r="A747" s="7"/>
    </row>
    <row r="748" spans="1:1" ht="15.75" customHeight="1">
      <c r="A748" s="7"/>
    </row>
    <row r="749" spans="1:1" ht="15.75" customHeight="1">
      <c r="A749" s="7"/>
    </row>
    <row r="750" spans="1:1" ht="15.75" customHeight="1">
      <c r="A750" s="7"/>
    </row>
    <row r="751" spans="1:1" ht="15.75" customHeight="1">
      <c r="A751" s="7"/>
    </row>
    <row r="752" spans="1:1" ht="15.75" customHeight="1">
      <c r="A752" s="7"/>
    </row>
    <row r="753" spans="1:1" ht="15.75" customHeight="1">
      <c r="A753" s="7"/>
    </row>
    <row r="754" spans="1:1" ht="15.75" customHeight="1">
      <c r="A754" s="7"/>
    </row>
    <row r="755" spans="1:1" ht="15.75" customHeight="1">
      <c r="A755" s="7"/>
    </row>
    <row r="756" spans="1:1" ht="15.75" customHeight="1">
      <c r="A756" s="7"/>
    </row>
    <row r="757" spans="1:1" ht="15.75" customHeight="1">
      <c r="A757" s="7"/>
    </row>
    <row r="758" spans="1:1" ht="15.75" customHeight="1">
      <c r="A758" s="7"/>
    </row>
    <row r="759" spans="1:1" ht="15.75" customHeight="1">
      <c r="A759" s="7"/>
    </row>
    <row r="760" spans="1:1" ht="15.75" customHeight="1">
      <c r="A760" s="7"/>
    </row>
    <row r="761" spans="1:1" ht="15.75" customHeight="1">
      <c r="A761" s="7"/>
    </row>
    <row r="762" spans="1:1" ht="15.75" customHeight="1">
      <c r="A762" s="7"/>
    </row>
    <row r="763" spans="1:1" ht="15.75" customHeight="1">
      <c r="A763" s="7"/>
    </row>
    <row r="764" spans="1:1" ht="15.75" customHeight="1">
      <c r="A764" s="7"/>
    </row>
    <row r="765" spans="1:1" ht="15.75" customHeight="1">
      <c r="A765" s="7"/>
    </row>
    <row r="766" spans="1:1" ht="15.75" customHeight="1">
      <c r="A766" s="7"/>
    </row>
    <row r="767" spans="1:1" ht="15.75" customHeight="1">
      <c r="A767" s="7"/>
    </row>
    <row r="768" spans="1:1" ht="15.75" customHeight="1">
      <c r="A768" s="7"/>
    </row>
    <row r="769" spans="1:1" ht="15.75" customHeight="1">
      <c r="A769" s="7"/>
    </row>
    <row r="770" spans="1:1" ht="15.75" customHeight="1">
      <c r="A770" s="7"/>
    </row>
    <row r="771" spans="1:1" ht="15.75" customHeight="1">
      <c r="A771" s="7"/>
    </row>
    <row r="772" spans="1:1" ht="15.75" customHeight="1">
      <c r="A772" s="7"/>
    </row>
    <row r="773" spans="1:1" ht="15.75" customHeight="1">
      <c r="A773" s="7"/>
    </row>
    <row r="774" spans="1:1" ht="15.75" customHeight="1">
      <c r="A774" s="7"/>
    </row>
    <row r="775" spans="1:1" ht="15.75" customHeight="1">
      <c r="A775" s="7"/>
    </row>
    <row r="776" spans="1:1" ht="15.75" customHeight="1">
      <c r="A776" s="7"/>
    </row>
    <row r="777" spans="1:1" ht="15.75" customHeight="1">
      <c r="A777" s="7"/>
    </row>
    <row r="778" spans="1:1" ht="15.75" customHeight="1">
      <c r="A778" s="7"/>
    </row>
    <row r="779" spans="1:1" ht="15.75" customHeight="1">
      <c r="A779" s="7"/>
    </row>
    <row r="780" spans="1:1" ht="15.75" customHeight="1">
      <c r="A780" s="7"/>
    </row>
    <row r="781" spans="1:1" ht="15.75" customHeight="1">
      <c r="A781" s="7"/>
    </row>
    <row r="782" spans="1:1" ht="15.75" customHeight="1">
      <c r="A782" s="7"/>
    </row>
    <row r="783" spans="1:1" ht="15.75" customHeight="1">
      <c r="A783" s="7"/>
    </row>
    <row r="784" spans="1:1" ht="15.75" customHeight="1">
      <c r="A784" s="7"/>
    </row>
    <row r="785" spans="1:1" ht="15.75" customHeight="1">
      <c r="A785" s="7"/>
    </row>
    <row r="786" spans="1:1" ht="15.75" customHeight="1">
      <c r="A786" s="7"/>
    </row>
    <row r="787" spans="1:1" ht="15.75" customHeight="1">
      <c r="A787" s="7"/>
    </row>
    <row r="788" spans="1:1" ht="15.75" customHeight="1">
      <c r="A788" s="7"/>
    </row>
    <row r="789" spans="1:1" ht="15.75" customHeight="1">
      <c r="A789" s="7"/>
    </row>
    <row r="790" spans="1:1" ht="15.75" customHeight="1">
      <c r="A790" s="7"/>
    </row>
    <row r="791" spans="1:1" ht="15.75" customHeight="1">
      <c r="A791" s="7"/>
    </row>
    <row r="792" spans="1:1" ht="15.75" customHeight="1">
      <c r="A792" s="7"/>
    </row>
    <row r="793" spans="1:1" ht="15.75" customHeight="1">
      <c r="A793" s="7"/>
    </row>
    <row r="794" spans="1:1" ht="15.75" customHeight="1">
      <c r="A794" s="7"/>
    </row>
    <row r="795" spans="1:1" ht="15.75" customHeight="1">
      <c r="A795" s="7"/>
    </row>
    <row r="796" spans="1:1" ht="15.75" customHeight="1">
      <c r="A796" s="7"/>
    </row>
    <row r="797" spans="1:1" ht="15.75" customHeight="1">
      <c r="A797" s="7"/>
    </row>
    <row r="798" spans="1:1" ht="15.75" customHeight="1">
      <c r="A798" s="7"/>
    </row>
    <row r="799" spans="1:1" ht="15.75" customHeight="1">
      <c r="A799" s="7"/>
    </row>
    <row r="800" spans="1:1" ht="15.75" customHeight="1">
      <c r="A800" s="7"/>
    </row>
    <row r="801" spans="1:1" ht="15.75" customHeight="1">
      <c r="A801" s="7"/>
    </row>
    <row r="802" spans="1:1" ht="15.75" customHeight="1">
      <c r="A802" s="7"/>
    </row>
    <row r="803" spans="1:1" ht="15.75" customHeight="1">
      <c r="A803" s="7"/>
    </row>
    <row r="804" spans="1:1" ht="15.75" customHeight="1">
      <c r="A804" s="7"/>
    </row>
    <row r="805" spans="1:1" ht="15.75" customHeight="1">
      <c r="A805" s="7"/>
    </row>
    <row r="806" spans="1:1" ht="15.75" customHeight="1">
      <c r="A806" s="7"/>
    </row>
    <row r="807" spans="1:1" ht="15.75" customHeight="1">
      <c r="A807" s="7"/>
    </row>
    <row r="808" spans="1:1" ht="15.75" customHeight="1">
      <c r="A808" s="7"/>
    </row>
    <row r="809" spans="1:1" ht="15.75" customHeight="1">
      <c r="A809" s="7"/>
    </row>
    <row r="810" spans="1:1" ht="15.75" customHeight="1">
      <c r="A810" s="7"/>
    </row>
    <row r="811" spans="1:1" ht="15.75" customHeight="1">
      <c r="A811" s="7"/>
    </row>
    <row r="812" spans="1:1" ht="15.75" customHeight="1">
      <c r="A812" s="7"/>
    </row>
    <row r="813" spans="1:1" ht="15.75" customHeight="1">
      <c r="A813" s="7"/>
    </row>
    <row r="814" spans="1:1" ht="15.75" customHeight="1">
      <c r="A814" s="7"/>
    </row>
    <row r="815" spans="1:1" ht="15.75" customHeight="1">
      <c r="A815" s="7"/>
    </row>
    <row r="816" spans="1:1" ht="15.75" customHeight="1">
      <c r="A816" s="7"/>
    </row>
    <row r="817" spans="1:1" ht="15.75" customHeight="1">
      <c r="A817" s="7"/>
    </row>
    <row r="818" spans="1:1" ht="15.75" customHeight="1">
      <c r="A818" s="7"/>
    </row>
    <row r="819" spans="1:1" ht="15.75" customHeight="1">
      <c r="A819" s="7"/>
    </row>
    <row r="820" spans="1:1" ht="15.75" customHeight="1">
      <c r="A820" s="7"/>
    </row>
    <row r="821" spans="1:1" ht="15.75" customHeight="1">
      <c r="A821" s="7"/>
    </row>
    <row r="822" spans="1:1" ht="15.75" customHeight="1">
      <c r="A822" s="7"/>
    </row>
    <row r="823" spans="1:1" ht="15.75" customHeight="1">
      <c r="A823" s="7"/>
    </row>
    <row r="824" spans="1:1" ht="15.75" customHeight="1">
      <c r="A824" s="7"/>
    </row>
    <row r="825" spans="1:1" ht="15.75" customHeight="1">
      <c r="A825" s="7"/>
    </row>
    <row r="826" spans="1:1" ht="15.75" customHeight="1">
      <c r="A826" s="7"/>
    </row>
    <row r="827" spans="1:1" ht="15.75" customHeight="1">
      <c r="A827" s="7"/>
    </row>
    <row r="828" spans="1:1" ht="15.75" customHeight="1">
      <c r="A828" s="7"/>
    </row>
    <row r="829" spans="1:1" ht="15.75" customHeight="1">
      <c r="A829" s="7"/>
    </row>
    <row r="830" spans="1:1" ht="15.75" customHeight="1">
      <c r="A830" s="7"/>
    </row>
    <row r="831" spans="1:1" ht="15.75" customHeight="1">
      <c r="A831" s="7"/>
    </row>
    <row r="832" spans="1:1" ht="15.75" customHeight="1">
      <c r="A832" s="7"/>
    </row>
    <row r="833" spans="1:1" ht="15.75" customHeight="1">
      <c r="A833" s="7"/>
    </row>
    <row r="834" spans="1:1" ht="15.75" customHeight="1">
      <c r="A834" s="7"/>
    </row>
    <row r="835" spans="1:1" ht="15.75" customHeight="1">
      <c r="A835" s="7"/>
    </row>
    <row r="836" spans="1:1" ht="15.75" customHeight="1">
      <c r="A836" s="7"/>
    </row>
    <row r="837" spans="1:1" ht="15.75" customHeight="1">
      <c r="A837" s="7"/>
    </row>
    <row r="838" spans="1:1" ht="15.75" customHeight="1">
      <c r="A838" s="7"/>
    </row>
    <row r="839" spans="1:1" ht="15.75" customHeight="1">
      <c r="A839" s="7"/>
    </row>
    <row r="840" spans="1:1" ht="15.75" customHeight="1">
      <c r="A840" s="7"/>
    </row>
    <row r="841" spans="1:1" ht="15.75" customHeight="1">
      <c r="A841" s="7"/>
    </row>
    <row r="842" spans="1:1" ht="15.75" customHeight="1">
      <c r="A842" s="7"/>
    </row>
    <row r="843" spans="1:1" ht="15.75" customHeight="1">
      <c r="A843" s="7"/>
    </row>
    <row r="844" spans="1:1" ht="15.75" customHeight="1">
      <c r="A844" s="7"/>
    </row>
    <row r="845" spans="1:1" ht="15.75" customHeight="1">
      <c r="A845" s="7"/>
    </row>
    <row r="846" spans="1:1" ht="15.75" customHeight="1">
      <c r="A846" s="7"/>
    </row>
    <row r="847" spans="1:1" ht="15.75" customHeight="1">
      <c r="A847" s="7"/>
    </row>
    <row r="848" spans="1:1" ht="15.75" customHeight="1">
      <c r="A848" s="7"/>
    </row>
    <row r="849" spans="1:1" ht="15.75" customHeight="1">
      <c r="A849" s="7"/>
    </row>
    <row r="850" spans="1:1" ht="15.75" customHeight="1">
      <c r="A850" s="7"/>
    </row>
    <row r="851" spans="1:1" ht="15.75" customHeight="1">
      <c r="A851" s="7"/>
    </row>
    <row r="852" spans="1:1" ht="15.75" customHeight="1">
      <c r="A852" s="7"/>
    </row>
    <row r="853" spans="1:1" ht="15.75" customHeight="1">
      <c r="A853" s="7"/>
    </row>
    <row r="854" spans="1:1" ht="15.75" customHeight="1">
      <c r="A854" s="7"/>
    </row>
    <row r="855" spans="1:1" ht="15.75" customHeight="1">
      <c r="A855" s="7"/>
    </row>
    <row r="856" spans="1:1" ht="15.75" customHeight="1">
      <c r="A856" s="7"/>
    </row>
    <row r="857" spans="1:1" ht="15.75" customHeight="1">
      <c r="A857" s="7"/>
    </row>
    <row r="858" spans="1:1" ht="15.75" customHeight="1">
      <c r="A858" s="7"/>
    </row>
    <row r="859" spans="1:1" ht="15.75" customHeight="1">
      <c r="A859" s="7"/>
    </row>
    <row r="860" spans="1:1" ht="15.75" customHeight="1">
      <c r="A860" s="7"/>
    </row>
    <row r="861" spans="1:1" ht="15.75" customHeight="1">
      <c r="A861" s="7"/>
    </row>
    <row r="862" spans="1:1" ht="15.75" customHeight="1">
      <c r="A862" s="7"/>
    </row>
    <row r="863" spans="1:1" ht="15.75" customHeight="1">
      <c r="A863" s="7"/>
    </row>
    <row r="864" spans="1:1" ht="15.75" customHeight="1">
      <c r="A864" s="7"/>
    </row>
    <row r="865" spans="1:1" ht="15.75" customHeight="1">
      <c r="A865" s="7"/>
    </row>
    <row r="866" spans="1:1" ht="15.75" customHeight="1">
      <c r="A866" s="7"/>
    </row>
    <row r="867" spans="1:1" ht="15.75" customHeight="1">
      <c r="A867" s="7"/>
    </row>
    <row r="868" spans="1:1" ht="15.75" customHeight="1">
      <c r="A868" s="7"/>
    </row>
    <row r="869" spans="1:1" ht="15.75" customHeight="1">
      <c r="A869" s="7"/>
    </row>
    <row r="870" spans="1:1" ht="15.75" customHeight="1">
      <c r="A870" s="7"/>
    </row>
    <row r="871" spans="1:1" ht="15.75" customHeight="1">
      <c r="A871" s="7"/>
    </row>
    <row r="872" spans="1:1" ht="15.75" customHeight="1">
      <c r="A872" s="7"/>
    </row>
    <row r="873" spans="1:1" ht="15.75" customHeight="1">
      <c r="A873" s="7"/>
    </row>
    <row r="874" spans="1:1" ht="15.75" customHeight="1">
      <c r="A874" s="7"/>
    </row>
    <row r="875" spans="1:1" ht="15.75" customHeight="1">
      <c r="A875" s="7"/>
    </row>
    <row r="876" spans="1:1" ht="15.75" customHeight="1">
      <c r="A876" s="7"/>
    </row>
    <row r="877" spans="1:1" ht="15.75" customHeight="1">
      <c r="A877" s="7"/>
    </row>
    <row r="878" spans="1:1" ht="15.75" customHeight="1">
      <c r="A878" s="7"/>
    </row>
    <row r="879" spans="1:1" ht="15.75" customHeight="1">
      <c r="A879" s="7"/>
    </row>
    <row r="880" spans="1:1" ht="15.75" customHeight="1">
      <c r="A880" s="7"/>
    </row>
    <row r="881" spans="1:1" ht="15.75" customHeight="1">
      <c r="A881" s="7"/>
    </row>
    <row r="882" spans="1:1" ht="15.75" customHeight="1">
      <c r="A882" s="7"/>
    </row>
    <row r="883" spans="1:1" ht="15.75" customHeight="1">
      <c r="A883" s="7"/>
    </row>
    <row r="884" spans="1:1" ht="15.75" customHeight="1">
      <c r="A884" s="7"/>
    </row>
    <row r="885" spans="1:1" ht="15.75" customHeight="1">
      <c r="A885" s="7"/>
    </row>
    <row r="886" spans="1:1" ht="15.75" customHeight="1">
      <c r="A886" s="7"/>
    </row>
    <row r="887" spans="1:1" ht="15.75" customHeight="1">
      <c r="A887" s="7"/>
    </row>
    <row r="888" spans="1:1" ht="15.75" customHeight="1">
      <c r="A888" s="7"/>
    </row>
    <row r="889" spans="1:1" ht="15.75" customHeight="1">
      <c r="A889" s="7"/>
    </row>
    <row r="890" spans="1:1" ht="15.75" customHeight="1">
      <c r="A890" s="7"/>
    </row>
    <row r="891" spans="1:1" ht="15.75" customHeight="1">
      <c r="A891" s="7"/>
    </row>
    <row r="892" spans="1:1" ht="15.75" customHeight="1">
      <c r="A892" s="7"/>
    </row>
    <row r="893" spans="1:1" ht="15.75" customHeight="1">
      <c r="A893" s="7"/>
    </row>
    <row r="894" spans="1:1" ht="15.75" customHeight="1">
      <c r="A894" s="7"/>
    </row>
    <row r="895" spans="1:1" ht="15.75" customHeight="1">
      <c r="A895" s="7"/>
    </row>
    <row r="896" spans="1:1" ht="15.75" customHeight="1">
      <c r="A896" s="7"/>
    </row>
    <row r="897" spans="1:1" ht="15.75" customHeight="1">
      <c r="A897" s="7"/>
    </row>
    <row r="898" spans="1:1" ht="15.75" customHeight="1">
      <c r="A898" s="7"/>
    </row>
    <row r="899" spans="1:1" ht="15.75" customHeight="1">
      <c r="A899" s="7"/>
    </row>
    <row r="900" spans="1:1" ht="15.75" customHeight="1">
      <c r="A900" s="7"/>
    </row>
    <row r="901" spans="1:1" ht="15.75" customHeight="1">
      <c r="A901" s="7"/>
    </row>
    <row r="902" spans="1:1" ht="15.75" customHeight="1">
      <c r="A902" s="7"/>
    </row>
    <row r="903" spans="1:1" ht="15.75" customHeight="1">
      <c r="A903" s="7"/>
    </row>
    <row r="904" spans="1:1" ht="15.75" customHeight="1">
      <c r="A904" s="7"/>
    </row>
    <row r="905" spans="1:1" ht="15.75" customHeight="1">
      <c r="A905" s="7"/>
    </row>
    <row r="906" spans="1:1" ht="15.75" customHeight="1">
      <c r="A906" s="7"/>
    </row>
    <row r="907" spans="1:1" ht="15.75" customHeight="1">
      <c r="A907" s="7"/>
    </row>
    <row r="908" spans="1:1" ht="15.75" customHeight="1">
      <c r="A908" s="7"/>
    </row>
    <row r="909" spans="1:1" ht="15.75" customHeight="1">
      <c r="A909" s="7"/>
    </row>
    <row r="910" spans="1:1" ht="15.75" customHeight="1">
      <c r="A910" s="7"/>
    </row>
    <row r="911" spans="1:1" ht="15.75" customHeight="1">
      <c r="A911" s="7"/>
    </row>
    <row r="912" spans="1:1" ht="15.75" customHeight="1">
      <c r="A912" s="7"/>
    </row>
    <row r="913" spans="1:1" ht="15.75" customHeight="1">
      <c r="A913" s="7"/>
    </row>
    <row r="914" spans="1:1" ht="15.75" customHeight="1">
      <c r="A914" s="7"/>
    </row>
    <row r="915" spans="1:1" ht="15.75" customHeight="1">
      <c r="A915" s="7"/>
    </row>
    <row r="916" spans="1:1" ht="15.75" customHeight="1">
      <c r="A916" s="7"/>
    </row>
    <row r="917" spans="1:1" ht="15.75" customHeight="1">
      <c r="A917" s="7"/>
    </row>
    <row r="918" spans="1:1" ht="15.75" customHeight="1">
      <c r="A918" s="7"/>
    </row>
    <row r="919" spans="1:1" ht="15.75" customHeight="1">
      <c r="A919" s="7"/>
    </row>
    <row r="920" spans="1:1" ht="15.75" customHeight="1">
      <c r="A920" s="7"/>
    </row>
    <row r="921" spans="1:1" ht="15.75" customHeight="1">
      <c r="A921" s="7"/>
    </row>
    <row r="922" spans="1:1" ht="15.75" customHeight="1">
      <c r="A922" s="7"/>
    </row>
    <row r="923" spans="1:1" ht="15.75" customHeight="1">
      <c r="A923" s="7"/>
    </row>
    <row r="924" spans="1:1" ht="15.75" customHeight="1">
      <c r="A924" s="7"/>
    </row>
    <row r="925" spans="1:1" ht="15.75" customHeight="1">
      <c r="A925" s="7"/>
    </row>
    <row r="926" spans="1:1" ht="15.75" customHeight="1">
      <c r="A926" s="7"/>
    </row>
    <row r="927" spans="1:1" ht="15.75" customHeight="1">
      <c r="A927" s="7"/>
    </row>
    <row r="928" spans="1:1" ht="15.75" customHeight="1">
      <c r="A928" s="7"/>
    </row>
    <row r="929" spans="1:1" ht="15.75" customHeight="1">
      <c r="A929" s="7"/>
    </row>
    <row r="930" spans="1:1" ht="15.75" customHeight="1">
      <c r="A930" s="7"/>
    </row>
    <row r="931" spans="1:1" ht="15.75" customHeight="1">
      <c r="A931" s="7"/>
    </row>
    <row r="932" spans="1:1" ht="15.75" customHeight="1">
      <c r="A932" s="7"/>
    </row>
    <row r="933" spans="1:1" ht="15.75" customHeight="1">
      <c r="A933" s="7"/>
    </row>
    <row r="934" spans="1:1" ht="15.75" customHeight="1">
      <c r="A934" s="7"/>
    </row>
    <row r="935" spans="1:1" ht="15.75" customHeight="1">
      <c r="A935" s="7"/>
    </row>
    <row r="936" spans="1:1" ht="15.75" customHeight="1">
      <c r="A936" s="7"/>
    </row>
    <row r="937" spans="1:1" ht="15.75" customHeight="1">
      <c r="A937" s="7"/>
    </row>
    <row r="938" spans="1:1" ht="15.75" customHeight="1">
      <c r="A938" s="7"/>
    </row>
    <row r="939" spans="1:1" ht="15.75" customHeight="1">
      <c r="A939" s="7"/>
    </row>
    <row r="940" spans="1:1" ht="15.75" customHeight="1">
      <c r="A940" s="7"/>
    </row>
    <row r="941" spans="1:1" ht="15.75" customHeight="1">
      <c r="A941" s="7"/>
    </row>
    <row r="942" spans="1:1" ht="15.75" customHeight="1">
      <c r="A942" s="7"/>
    </row>
    <row r="943" spans="1:1" ht="15.75" customHeight="1">
      <c r="A943" s="7"/>
    </row>
    <row r="944" spans="1:1" ht="15.75" customHeight="1">
      <c r="A944" s="7"/>
    </row>
    <row r="945" spans="1:1" ht="15.75" customHeight="1">
      <c r="A945" s="7"/>
    </row>
    <row r="946" spans="1:1" ht="15.75" customHeight="1">
      <c r="A946" s="7"/>
    </row>
    <row r="947" spans="1:1" ht="15.75" customHeight="1">
      <c r="A947" s="7"/>
    </row>
    <row r="948" spans="1:1" ht="15.75" customHeight="1">
      <c r="A948" s="7"/>
    </row>
    <row r="949" spans="1:1" ht="15.75" customHeight="1">
      <c r="A949" s="7"/>
    </row>
    <row r="950" spans="1:1" ht="15.75" customHeight="1">
      <c r="A950" s="7"/>
    </row>
    <row r="951" spans="1:1" ht="15.75" customHeight="1">
      <c r="A951" s="7"/>
    </row>
    <row r="952" spans="1:1" ht="15.75" customHeight="1">
      <c r="A952" s="7"/>
    </row>
    <row r="953" spans="1:1" ht="15.75" customHeight="1">
      <c r="A953" s="7"/>
    </row>
    <row r="954" spans="1:1" ht="15.75" customHeight="1">
      <c r="A954" s="7"/>
    </row>
    <row r="955" spans="1:1" ht="15.75" customHeight="1">
      <c r="A955" s="7"/>
    </row>
    <row r="956" spans="1:1" ht="15.75" customHeight="1">
      <c r="A956" s="7"/>
    </row>
    <row r="957" spans="1:1" ht="15.75" customHeight="1">
      <c r="A957" s="7"/>
    </row>
    <row r="958" spans="1:1" ht="15.75" customHeight="1">
      <c r="A958" s="7"/>
    </row>
    <row r="959" spans="1:1" ht="15.75" customHeight="1">
      <c r="A959" s="7"/>
    </row>
    <row r="960" spans="1:1" ht="15.75" customHeight="1">
      <c r="A960" s="7"/>
    </row>
    <row r="961" spans="1:1" ht="15.75" customHeight="1">
      <c r="A961" s="7"/>
    </row>
    <row r="962" spans="1:1" ht="15.75" customHeight="1">
      <c r="A962" s="7"/>
    </row>
    <row r="963" spans="1:1" ht="15.75" customHeight="1">
      <c r="A963" s="7"/>
    </row>
    <row r="964" spans="1:1" ht="15.75" customHeight="1">
      <c r="A964" s="7"/>
    </row>
    <row r="965" spans="1:1" ht="15.75" customHeight="1">
      <c r="A965" s="7"/>
    </row>
    <row r="966" spans="1:1" ht="15.75" customHeight="1">
      <c r="A966" s="7"/>
    </row>
    <row r="967" spans="1:1" ht="15.75" customHeight="1">
      <c r="A967" s="7"/>
    </row>
    <row r="968" spans="1:1" ht="15.75" customHeight="1">
      <c r="A968" s="7"/>
    </row>
    <row r="969" spans="1:1" ht="15.75" customHeight="1">
      <c r="A969" s="7"/>
    </row>
    <row r="970" spans="1:1" ht="15.75" customHeight="1">
      <c r="A970" s="7"/>
    </row>
    <row r="971" spans="1:1" ht="15.75" customHeight="1">
      <c r="A971" s="7"/>
    </row>
    <row r="972" spans="1:1" ht="15.75" customHeight="1">
      <c r="A972" s="7"/>
    </row>
    <row r="973" spans="1:1" ht="15.75" customHeight="1">
      <c r="A973" s="7"/>
    </row>
    <row r="974" spans="1:1" ht="15.75" customHeight="1">
      <c r="A974" s="7"/>
    </row>
    <row r="975" spans="1:1" ht="15.75" customHeight="1">
      <c r="A975" s="7"/>
    </row>
    <row r="976" spans="1:1" ht="15.75" customHeight="1">
      <c r="A976" s="7"/>
    </row>
    <row r="977" spans="1:1" ht="15.75" customHeight="1">
      <c r="A977" s="7"/>
    </row>
    <row r="978" spans="1:1" ht="15.75" customHeight="1">
      <c r="A978" s="7"/>
    </row>
    <row r="979" spans="1:1" ht="15.75" customHeight="1">
      <c r="A979" s="7"/>
    </row>
    <row r="980" spans="1:1" ht="15.75" customHeight="1">
      <c r="A980" s="7"/>
    </row>
    <row r="981" spans="1:1" ht="15.75" customHeight="1">
      <c r="A981" s="7"/>
    </row>
    <row r="982" spans="1:1" ht="15.75" customHeight="1">
      <c r="A982" s="7"/>
    </row>
    <row r="983" spans="1:1" ht="15.75" customHeight="1">
      <c r="A983" s="7"/>
    </row>
    <row r="984" spans="1:1" ht="15.75" customHeight="1">
      <c r="A984" s="7"/>
    </row>
    <row r="985" spans="1:1" ht="15.75" customHeight="1">
      <c r="A985" s="7"/>
    </row>
    <row r="986" spans="1:1" ht="15.75" customHeight="1">
      <c r="A986" s="7"/>
    </row>
    <row r="987" spans="1:1" ht="15.75" customHeight="1">
      <c r="A987" s="7"/>
    </row>
    <row r="988" spans="1:1" ht="15.75" customHeight="1">
      <c r="A988" s="7"/>
    </row>
    <row r="989" spans="1:1" ht="15.75" customHeight="1">
      <c r="A989" s="7"/>
    </row>
    <row r="990" spans="1:1" ht="15.75" customHeight="1">
      <c r="A990" s="7"/>
    </row>
    <row r="991" spans="1:1" ht="15.75" customHeight="1">
      <c r="A991" s="7"/>
    </row>
    <row r="992" spans="1:1" ht="15.75" customHeight="1">
      <c r="A992" s="7"/>
    </row>
    <row r="993" spans="1:1" ht="15.75" customHeight="1">
      <c r="A993" s="7"/>
    </row>
    <row r="994" spans="1:1" ht="15.75" customHeight="1">
      <c r="A994" s="7"/>
    </row>
    <row r="995" spans="1:1" ht="15.75" customHeight="1">
      <c r="A995" s="7"/>
    </row>
    <row r="996" spans="1:1" ht="15.75" customHeight="1">
      <c r="A996" s="7"/>
    </row>
    <row r="997" spans="1:1" ht="15.75" customHeight="1">
      <c r="A997" s="7"/>
    </row>
    <row r="998" spans="1:1" ht="15.75" customHeight="1">
      <c r="A998" s="7"/>
    </row>
    <row r="999" spans="1:1" ht="15.75" customHeight="1">
      <c r="A999" s="7"/>
    </row>
    <row r="1000" spans="1:1" ht="15.75" customHeight="1">
      <c r="A1000" s="7"/>
    </row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showGridLines="0" topLeftCell="A10" zoomScale="85" zoomScaleNormal="85" workbookViewId="0">
      <selection activeCell="M40" sqref="M40"/>
    </sheetView>
  </sheetViews>
  <sheetFormatPr baseColWidth="10" defaultColWidth="12.625" defaultRowHeight="15" customHeight="1"/>
  <cols>
    <col min="1" max="1" width="7.625" customWidth="1"/>
    <col min="2" max="2" width="3" customWidth="1"/>
    <col min="3" max="3" width="9.375" customWidth="1"/>
    <col min="4" max="4" width="14.125" customWidth="1"/>
    <col min="5" max="5" width="13" customWidth="1"/>
    <col min="6" max="6" width="18.625" customWidth="1"/>
    <col min="7" max="7" width="21" customWidth="1"/>
    <col min="8" max="8" width="9.125" customWidth="1"/>
    <col min="9" max="9" width="14.75" customWidth="1"/>
    <col min="10" max="10" width="15.25" customWidth="1"/>
    <col min="11" max="11" width="19.5" customWidth="1"/>
    <col min="12" max="26" width="9.375" customWidth="1"/>
  </cols>
  <sheetData>
    <row r="1" spans="1:12">
      <c r="A1" s="7"/>
    </row>
    <row r="2" spans="1:12">
      <c r="A2" s="7"/>
    </row>
    <row r="3" spans="1:12">
      <c r="A3" s="7"/>
    </row>
    <row r="4" spans="1:12">
      <c r="A4" s="7"/>
    </row>
    <row r="5" spans="1:12">
      <c r="A5" s="7"/>
    </row>
    <row r="6" spans="1:12">
      <c r="A6" s="7"/>
    </row>
    <row r="7" spans="1:12">
      <c r="A7" s="7"/>
    </row>
    <row r="8" spans="1:12">
      <c r="A8" s="7"/>
      <c r="K8" s="8"/>
    </row>
    <row r="9" spans="1:12" ht="36.75" customHeight="1">
      <c r="A9" s="7"/>
      <c r="C9" s="2" t="s">
        <v>0</v>
      </c>
      <c r="D9" s="3"/>
      <c r="E9" s="3"/>
      <c r="F9" s="3"/>
      <c r="G9" s="3"/>
      <c r="H9" s="3"/>
      <c r="I9" s="3"/>
      <c r="J9" s="3"/>
      <c r="K9" s="2"/>
    </row>
    <row r="10" spans="1:12">
      <c r="A10" s="7"/>
      <c r="C10" s="9"/>
    </row>
    <row r="11" spans="1:12" ht="20.25">
      <c r="A11" s="7"/>
      <c r="G11" s="4" t="s">
        <v>37</v>
      </c>
      <c r="L11" s="17" t="s">
        <v>38</v>
      </c>
    </row>
    <row r="12" spans="1:12" ht="7.5" customHeight="1">
      <c r="A12" s="7"/>
    </row>
    <row r="13" spans="1:12" ht="15.75">
      <c r="A13" s="7"/>
      <c r="C13" s="5" t="s">
        <v>2</v>
      </c>
      <c r="D13" s="11" t="s">
        <v>39</v>
      </c>
    </row>
    <row r="14" spans="1:12">
      <c r="A14" s="7"/>
    </row>
    <row r="15" spans="1:12" ht="17.25">
      <c r="A15" s="7"/>
      <c r="C15" s="5" t="s">
        <v>4</v>
      </c>
      <c r="D15" s="12"/>
    </row>
    <row r="16" spans="1:12" ht="13.5" customHeight="1">
      <c r="A16" s="7"/>
      <c r="C16" s="5"/>
    </row>
    <row r="17" spans="1:11" ht="15.75">
      <c r="A17" s="7"/>
      <c r="C17" s="5" t="s">
        <v>5</v>
      </c>
    </row>
    <row r="18" spans="1:11" ht="15.75">
      <c r="A18" s="7"/>
      <c r="D18" s="11" t="s">
        <v>40</v>
      </c>
      <c r="E18" s="18"/>
    </row>
    <row r="19" spans="1:11" ht="15.75">
      <c r="A19" s="7"/>
      <c r="D19" s="11" t="s">
        <v>41</v>
      </c>
      <c r="E19" s="18"/>
    </row>
    <row r="20" spans="1:11" ht="30" customHeight="1">
      <c r="A20" s="7"/>
      <c r="D20" s="19" t="s">
        <v>42</v>
      </c>
      <c r="E20" s="19" t="s">
        <v>43</v>
      </c>
      <c r="F20" s="19" t="s">
        <v>44</v>
      </c>
      <c r="G20" s="19" t="s">
        <v>45</v>
      </c>
      <c r="H20" s="19" t="s">
        <v>46</v>
      </c>
      <c r="I20" s="19" t="s">
        <v>47</v>
      </c>
      <c r="J20" s="19" t="s">
        <v>48</v>
      </c>
      <c r="K20" s="19" t="s">
        <v>49</v>
      </c>
    </row>
    <row r="21" spans="1:11" ht="15.75" customHeight="1">
      <c r="A21" s="7"/>
      <c r="D21" s="20">
        <v>102001</v>
      </c>
      <c r="E21" s="20" t="s">
        <v>50</v>
      </c>
      <c r="F21" s="20" t="s">
        <v>51</v>
      </c>
      <c r="G21" s="21">
        <v>1</v>
      </c>
      <c r="H21" s="21">
        <v>150</v>
      </c>
      <c r="I21" s="21">
        <v>101</v>
      </c>
      <c r="J21" s="21">
        <v>20</v>
      </c>
      <c r="K21" s="21">
        <f t="shared" ref="K21:K34" si="0">SUM(H21:J21)</f>
        <v>271</v>
      </c>
    </row>
    <row r="22" spans="1:11" ht="15.75" customHeight="1">
      <c r="A22" s="7"/>
      <c r="D22" s="20">
        <v>102002</v>
      </c>
      <c r="E22" s="20" t="s">
        <v>52</v>
      </c>
      <c r="F22" s="20" t="s">
        <v>53</v>
      </c>
      <c r="G22" s="21">
        <v>2</v>
      </c>
      <c r="H22" s="21">
        <v>20</v>
      </c>
      <c r="I22" s="21">
        <v>20</v>
      </c>
      <c r="J22" s="21">
        <v>36</v>
      </c>
      <c r="K22" s="21">
        <f t="shared" si="0"/>
        <v>76</v>
      </c>
    </row>
    <row r="23" spans="1:11" ht="15.75" customHeight="1">
      <c r="A23" s="7"/>
      <c r="D23" s="20">
        <v>102003</v>
      </c>
      <c r="E23" s="20" t="s">
        <v>50</v>
      </c>
      <c r="F23" s="20" t="s">
        <v>54</v>
      </c>
      <c r="G23" s="21">
        <v>1</v>
      </c>
      <c r="H23" s="21">
        <v>35</v>
      </c>
      <c r="I23" s="21">
        <v>12</v>
      </c>
      <c r="J23" s="21">
        <v>14</v>
      </c>
      <c r="K23" s="21">
        <f t="shared" si="0"/>
        <v>61</v>
      </c>
    </row>
    <row r="24" spans="1:11" ht="15.75" customHeight="1">
      <c r="A24" s="7"/>
      <c r="D24" s="20">
        <v>102004</v>
      </c>
      <c r="E24" s="20" t="s">
        <v>55</v>
      </c>
      <c r="F24" s="20" t="s">
        <v>56</v>
      </c>
      <c r="G24" s="21">
        <v>2</v>
      </c>
      <c r="H24" s="21">
        <v>0</v>
      </c>
      <c r="I24" s="21">
        <v>8</v>
      </c>
      <c r="J24" s="21">
        <v>0</v>
      </c>
      <c r="K24" s="21">
        <f t="shared" si="0"/>
        <v>8</v>
      </c>
    </row>
    <row r="25" spans="1:11" ht="15.75" customHeight="1">
      <c r="A25" s="7"/>
      <c r="D25" s="20">
        <v>102005</v>
      </c>
      <c r="E25" s="20" t="s">
        <v>57</v>
      </c>
      <c r="F25" s="20" t="s">
        <v>58</v>
      </c>
      <c r="G25" s="21">
        <v>3</v>
      </c>
      <c r="H25" s="21">
        <v>20</v>
      </c>
      <c r="I25" s="21">
        <v>6</v>
      </c>
      <c r="J25" s="21">
        <v>14</v>
      </c>
      <c r="K25" s="21">
        <f t="shared" si="0"/>
        <v>40</v>
      </c>
    </row>
    <row r="26" spans="1:11" ht="15.75" customHeight="1">
      <c r="A26" s="7"/>
      <c r="D26" s="20">
        <v>102006</v>
      </c>
      <c r="E26" s="20" t="s">
        <v>55</v>
      </c>
      <c r="F26" s="20" t="s">
        <v>59</v>
      </c>
      <c r="G26" s="21">
        <v>3</v>
      </c>
      <c r="H26" s="21">
        <v>0</v>
      </c>
      <c r="I26" s="21">
        <v>10</v>
      </c>
      <c r="J26" s="21">
        <v>0</v>
      </c>
      <c r="K26" s="21">
        <f t="shared" si="0"/>
        <v>10</v>
      </c>
    </row>
    <row r="27" spans="1:11" ht="15.75" customHeight="1">
      <c r="A27" s="7"/>
      <c r="D27" s="20">
        <v>102007</v>
      </c>
      <c r="E27" s="20" t="s">
        <v>50</v>
      </c>
      <c r="F27" s="20" t="s">
        <v>60</v>
      </c>
      <c r="G27" s="21">
        <v>1</v>
      </c>
      <c r="H27" s="21">
        <v>60</v>
      </c>
      <c r="I27" s="21">
        <v>20</v>
      </c>
      <c r="J27" s="21">
        <v>32</v>
      </c>
      <c r="K27" s="21">
        <f t="shared" si="0"/>
        <v>112</v>
      </c>
    </row>
    <row r="28" spans="1:11" ht="15.75" customHeight="1">
      <c r="A28" s="7"/>
      <c r="D28" s="20">
        <v>102008</v>
      </c>
      <c r="E28" s="20" t="s">
        <v>57</v>
      </c>
      <c r="F28" s="20" t="s">
        <v>61</v>
      </c>
      <c r="G28" s="21">
        <v>3</v>
      </c>
      <c r="H28" s="21">
        <v>14</v>
      </c>
      <c r="I28" s="21">
        <v>30</v>
      </c>
      <c r="J28" s="21">
        <v>21</v>
      </c>
      <c r="K28" s="21">
        <f t="shared" si="0"/>
        <v>65</v>
      </c>
    </row>
    <row r="29" spans="1:11" ht="15.75" customHeight="1">
      <c r="A29" s="7"/>
      <c r="D29" s="20">
        <v>102009</v>
      </c>
      <c r="E29" s="20" t="s">
        <v>52</v>
      </c>
      <c r="F29" s="20" t="s">
        <v>62</v>
      </c>
      <c r="G29" s="21">
        <v>2</v>
      </c>
      <c r="H29" s="21">
        <v>60</v>
      </c>
      <c r="I29" s="21">
        <v>14</v>
      </c>
      <c r="J29" s="21">
        <v>58</v>
      </c>
      <c r="K29" s="21">
        <f t="shared" si="0"/>
        <v>132</v>
      </c>
    </row>
    <row r="30" spans="1:11" ht="15.75" customHeight="1">
      <c r="A30" s="7"/>
      <c r="D30" s="20">
        <v>102010</v>
      </c>
      <c r="E30" s="20" t="s">
        <v>57</v>
      </c>
      <c r="F30" s="20" t="s">
        <v>63</v>
      </c>
      <c r="G30" s="21">
        <v>2</v>
      </c>
      <c r="H30" s="21">
        <v>190</v>
      </c>
      <c r="I30" s="21">
        <v>23</v>
      </c>
      <c r="J30" s="21">
        <v>12</v>
      </c>
      <c r="K30" s="21">
        <f t="shared" si="0"/>
        <v>225</v>
      </c>
    </row>
    <row r="31" spans="1:11" ht="15.75" customHeight="1">
      <c r="A31" s="7"/>
      <c r="D31" s="20">
        <v>102011</v>
      </c>
      <c r="E31" s="20" t="s">
        <v>50</v>
      </c>
      <c r="F31" s="20" t="s">
        <v>64</v>
      </c>
      <c r="G31" s="21">
        <v>1</v>
      </c>
      <c r="H31" s="21">
        <v>25</v>
      </c>
      <c r="I31" s="21">
        <v>10</v>
      </c>
      <c r="J31" s="21">
        <v>25</v>
      </c>
      <c r="K31" s="21">
        <f t="shared" si="0"/>
        <v>60</v>
      </c>
    </row>
    <row r="32" spans="1:11" ht="15.75" customHeight="1">
      <c r="A32" s="7"/>
      <c r="D32" s="20">
        <v>102012</v>
      </c>
      <c r="E32" s="20" t="s">
        <v>52</v>
      </c>
      <c r="F32" s="20" t="s">
        <v>65</v>
      </c>
      <c r="G32" s="21">
        <v>2</v>
      </c>
      <c r="H32" s="21">
        <v>10</v>
      </c>
      <c r="I32" s="21">
        <v>25</v>
      </c>
      <c r="J32" s="21">
        <v>36</v>
      </c>
      <c r="K32" s="21">
        <f t="shared" si="0"/>
        <v>71</v>
      </c>
    </row>
    <row r="33" spans="1:11" ht="15.75" customHeight="1">
      <c r="A33" s="7"/>
      <c r="D33" s="20">
        <v>102013</v>
      </c>
      <c r="E33" s="20" t="s">
        <v>66</v>
      </c>
      <c r="F33" s="20" t="s">
        <v>67</v>
      </c>
      <c r="G33" s="21">
        <v>3</v>
      </c>
      <c r="H33" s="21">
        <v>36</v>
      </c>
      <c r="I33" s="21">
        <v>20</v>
      </c>
      <c r="J33" s="21">
        <v>14</v>
      </c>
      <c r="K33" s="21">
        <f t="shared" si="0"/>
        <v>70</v>
      </c>
    </row>
    <row r="34" spans="1:11" ht="15.75" customHeight="1">
      <c r="A34" s="7"/>
      <c r="D34" s="20">
        <v>102014</v>
      </c>
      <c r="E34" s="20" t="s">
        <v>66</v>
      </c>
      <c r="F34" s="20" t="s">
        <v>68</v>
      </c>
      <c r="G34" s="21">
        <v>3</v>
      </c>
      <c r="H34" s="21">
        <v>42</v>
      </c>
      <c r="I34" s="21">
        <v>18</v>
      </c>
      <c r="J34" s="21">
        <v>12</v>
      </c>
      <c r="K34" s="21">
        <f t="shared" si="0"/>
        <v>72</v>
      </c>
    </row>
    <row r="35" spans="1:11" ht="15.75" customHeight="1">
      <c r="A35" s="7"/>
      <c r="D35" s="64"/>
      <c r="E35" s="65"/>
      <c r="I35" s="64"/>
      <c r="J35" s="65"/>
    </row>
    <row r="36" spans="1:11" ht="15.75" customHeight="1">
      <c r="A36" s="7"/>
      <c r="D36" s="66" t="s">
        <v>69</v>
      </c>
      <c r="E36" s="67"/>
      <c r="F36" s="67"/>
      <c r="G36" s="67"/>
      <c r="H36" s="67"/>
      <c r="I36" s="67"/>
      <c r="J36" s="68"/>
      <c r="K36" s="22">
        <f>SUMIF(D20:K34,1)</f>
        <v>4</v>
      </c>
    </row>
    <row r="37" spans="1:11" ht="15.75" customHeight="1">
      <c r="A37" s="7"/>
      <c r="D37" s="23" t="s">
        <v>70</v>
      </c>
      <c r="E37" s="24"/>
      <c r="F37" s="24"/>
      <c r="G37" s="24"/>
      <c r="H37" s="24"/>
      <c r="I37" s="24"/>
      <c r="J37" s="25"/>
      <c r="K37" s="22">
        <f>SUMIF(G21:G34,2)</f>
        <v>10</v>
      </c>
    </row>
    <row r="38" spans="1:11" ht="15.75" customHeight="1">
      <c r="A38" s="7"/>
      <c r="D38" s="23" t="s">
        <v>71</v>
      </c>
      <c r="E38" s="24"/>
      <c r="F38" s="24"/>
      <c r="G38" s="24"/>
      <c r="H38" s="24"/>
      <c r="I38" s="24"/>
      <c r="J38" s="25"/>
      <c r="K38" s="22">
        <f>SUMIF(G21:G34,3)</f>
        <v>15</v>
      </c>
    </row>
    <row r="39" spans="1:11" ht="15.75" customHeight="1">
      <c r="A39" s="7"/>
      <c r="D39" s="24" t="s">
        <v>72</v>
      </c>
      <c r="E39" s="24"/>
      <c r="F39" s="24"/>
      <c r="G39" s="24"/>
      <c r="H39" s="24"/>
      <c r="I39" s="24"/>
      <c r="J39" s="25"/>
      <c r="K39" s="22">
        <f ca="1">SUMIF(E20:K34,"Infecciosa",K20:K34)</f>
        <v>504</v>
      </c>
    </row>
    <row r="40" spans="1:11" ht="15.75" customHeight="1">
      <c r="A40" s="7"/>
      <c r="D40" s="23" t="s">
        <v>73</v>
      </c>
      <c r="E40" s="24"/>
      <c r="F40" s="24"/>
      <c r="G40" s="24"/>
      <c r="H40" s="24"/>
      <c r="I40" s="24"/>
      <c r="J40" s="25"/>
      <c r="K40" s="22">
        <f ca="1">SUMIF($E$20:$K$34,"Endocrinas",K20:K34)</f>
        <v>279</v>
      </c>
    </row>
    <row r="41" spans="1:11" ht="15.75" customHeight="1">
      <c r="A41" s="7"/>
      <c r="D41" s="23" t="s">
        <v>74</v>
      </c>
      <c r="E41" s="24"/>
      <c r="F41" s="24"/>
      <c r="G41" s="24"/>
      <c r="H41" s="24"/>
      <c r="I41" s="24"/>
      <c r="J41" s="25"/>
      <c r="K41" s="22">
        <f t="shared" ref="K41" ca="1" si="1">SUMIF($E$20:$K$34,"Congénitas",K21:K35)</f>
        <v>152</v>
      </c>
    </row>
    <row r="42" spans="1:11" ht="15.75" customHeight="1">
      <c r="A42" s="7"/>
      <c r="D42" s="23" t="s">
        <v>75</v>
      </c>
      <c r="E42" s="24"/>
      <c r="F42" s="24"/>
      <c r="G42" s="24"/>
      <c r="H42" s="24"/>
      <c r="I42" s="24"/>
      <c r="J42" s="25"/>
      <c r="K42" s="22">
        <f ca="1">SUMIF($E$20:$K$34,"Neoplasias",K22:K36)</f>
        <v>408</v>
      </c>
    </row>
    <row r="43" spans="1:11" ht="15.75" customHeight="1">
      <c r="A43" s="7"/>
      <c r="D43" s="23" t="s">
        <v>76</v>
      </c>
      <c r="E43" s="24"/>
      <c r="F43" s="24"/>
      <c r="G43" s="24"/>
      <c r="H43" s="24"/>
      <c r="I43" s="24"/>
      <c r="J43" s="25"/>
      <c r="K43" s="22">
        <f ca="1">SUMIF($E$20:$K$34,"Metabólicas",K23:K37)</f>
        <v>14</v>
      </c>
    </row>
    <row r="44" spans="1:11" ht="15.75" customHeight="1">
      <c r="A44" s="7"/>
    </row>
    <row r="45" spans="1:11" ht="15.75" customHeight="1">
      <c r="A45" s="7"/>
    </row>
    <row r="46" spans="1:11" ht="15.75" customHeight="1">
      <c r="A46" s="7"/>
    </row>
    <row r="47" spans="1:11" ht="15.75" customHeight="1">
      <c r="A47" s="7"/>
    </row>
    <row r="48" spans="1:11" ht="15.75" customHeight="1">
      <c r="A48" s="7"/>
    </row>
    <row r="49" spans="1:1" ht="15.75" customHeight="1">
      <c r="A49" s="7"/>
    </row>
    <row r="50" spans="1:1" ht="15.75" customHeight="1">
      <c r="A50" s="7"/>
    </row>
    <row r="51" spans="1:1" ht="15.75" customHeight="1">
      <c r="A51" s="7"/>
    </row>
    <row r="52" spans="1:1" ht="15.75" customHeight="1">
      <c r="A52" s="7"/>
    </row>
    <row r="53" spans="1:1" ht="15.75" customHeight="1">
      <c r="A53" s="7"/>
    </row>
    <row r="54" spans="1:1" ht="15.75" customHeight="1">
      <c r="A54" s="7"/>
    </row>
    <row r="55" spans="1:1" ht="15.75" customHeight="1">
      <c r="A55" s="7"/>
    </row>
    <row r="56" spans="1:1" ht="15.75" customHeight="1">
      <c r="A56" s="7"/>
    </row>
    <row r="57" spans="1:1" ht="15.75" customHeight="1">
      <c r="A57" s="7"/>
    </row>
    <row r="58" spans="1:1" ht="15.75" customHeight="1">
      <c r="A58" s="7"/>
    </row>
    <row r="59" spans="1:1" ht="15.75" customHeight="1">
      <c r="A59" s="7"/>
    </row>
    <row r="60" spans="1:1" ht="15.75" customHeight="1">
      <c r="A60" s="7"/>
    </row>
    <row r="61" spans="1:1" ht="15.75" customHeight="1">
      <c r="A61" s="7"/>
    </row>
    <row r="62" spans="1:1" ht="15.75" customHeight="1">
      <c r="A62" s="7"/>
    </row>
    <row r="63" spans="1:1" ht="15.75" customHeight="1">
      <c r="A63" s="7"/>
    </row>
    <row r="64" spans="1:1" ht="15.75" customHeight="1">
      <c r="A64" s="7"/>
    </row>
    <row r="65" spans="1:1" ht="15.75" customHeight="1">
      <c r="A65" s="7"/>
    </row>
    <row r="66" spans="1:1" ht="15.75" customHeight="1">
      <c r="A66" s="7"/>
    </row>
    <row r="67" spans="1:1" ht="15.75" customHeight="1">
      <c r="A67" s="7"/>
    </row>
    <row r="68" spans="1:1" ht="15.75" customHeight="1">
      <c r="A68" s="7"/>
    </row>
    <row r="69" spans="1:1" ht="15.75" customHeight="1">
      <c r="A69" s="7"/>
    </row>
    <row r="70" spans="1:1" ht="15.75" customHeight="1">
      <c r="A70" s="7"/>
    </row>
    <row r="71" spans="1:1" ht="15.75" customHeight="1">
      <c r="A71" s="7"/>
    </row>
    <row r="72" spans="1:1" ht="15.75" customHeight="1">
      <c r="A72" s="7"/>
    </row>
    <row r="73" spans="1:1" ht="15.75" customHeight="1">
      <c r="A73" s="7"/>
    </row>
    <row r="74" spans="1:1" ht="15.75" customHeight="1">
      <c r="A74" s="7"/>
    </row>
    <row r="75" spans="1:1" ht="15.75" customHeight="1">
      <c r="A75" s="7"/>
    </row>
    <row r="76" spans="1:1" ht="15.75" customHeight="1">
      <c r="A76" s="7"/>
    </row>
    <row r="77" spans="1:1" ht="15.75" customHeight="1">
      <c r="A77" s="7"/>
    </row>
    <row r="78" spans="1:1" ht="15.75" customHeight="1">
      <c r="A78" s="7"/>
    </row>
    <row r="79" spans="1:1" ht="15.75" customHeight="1">
      <c r="A79" s="7"/>
    </row>
    <row r="80" spans="1:1" ht="15.75" customHeight="1">
      <c r="A80" s="7"/>
    </row>
    <row r="81" spans="1:1" ht="15.75" customHeight="1">
      <c r="A81" s="7"/>
    </row>
    <row r="82" spans="1:1" ht="15.75" customHeight="1">
      <c r="A82" s="7"/>
    </row>
    <row r="83" spans="1:1" ht="15.75" customHeight="1">
      <c r="A83" s="7"/>
    </row>
    <row r="84" spans="1:1" ht="15.75" customHeight="1">
      <c r="A84" s="7"/>
    </row>
    <row r="85" spans="1:1" ht="15.75" customHeight="1">
      <c r="A85" s="7"/>
    </row>
    <row r="86" spans="1:1" ht="15.75" customHeight="1">
      <c r="A86" s="7"/>
    </row>
    <row r="87" spans="1:1" ht="15.75" customHeight="1">
      <c r="A87" s="7"/>
    </row>
    <row r="88" spans="1:1" ht="15.75" customHeight="1">
      <c r="A88" s="7"/>
    </row>
    <row r="89" spans="1:1" ht="15.75" customHeight="1">
      <c r="A89" s="7"/>
    </row>
    <row r="90" spans="1:1" ht="15.75" customHeight="1">
      <c r="A90" s="7"/>
    </row>
    <row r="91" spans="1:1" ht="15.75" customHeight="1">
      <c r="A91" s="7"/>
    </row>
    <row r="92" spans="1:1" ht="15.75" customHeight="1">
      <c r="A92" s="7"/>
    </row>
    <row r="93" spans="1:1" ht="15.75" customHeight="1">
      <c r="A93" s="7"/>
    </row>
    <row r="94" spans="1:1" ht="15.75" customHeight="1">
      <c r="A94" s="7"/>
    </row>
    <row r="95" spans="1:1" ht="15.75" customHeight="1">
      <c r="A95" s="7"/>
    </row>
    <row r="96" spans="1:1" ht="15.75" customHeight="1">
      <c r="A96" s="7"/>
    </row>
    <row r="97" spans="1:1" ht="15.75" customHeight="1">
      <c r="A97" s="7"/>
    </row>
    <row r="98" spans="1:1" ht="15.75" customHeight="1">
      <c r="A98" s="7"/>
    </row>
    <row r="99" spans="1:1" ht="15.75" customHeight="1">
      <c r="A99" s="7"/>
    </row>
    <row r="100" spans="1:1" ht="15.75" customHeight="1">
      <c r="A100" s="7"/>
    </row>
    <row r="101" spans="1:1" ht="15.75" customHeight="1">
      <c r="A101" s="7"/>
    </row>
    <row r="102" spans="1:1" ht="15.75" customHeight="1">
      <c r="A102" s="7"/>
    </row>
    <row r="103" spans="1:1" ht="15.75" customHeight="1">
      <c r="A103" s="7"/>
    </row>
    <row r="104" spans="1:1" ht="15.75" customHeight="1">
      <c r="A104" s="7"/>
    </row>
    <row r="105" spans="1:1" ht="15.75" customHeight="1">
      <c r="A105" s="7"/>
    </row>
    <row r="106" spans="1:1" ht="15.75" customHeight="1">
      <c r="A106" s="7"/>
    </row>
    <row r="107" spans="1:1" ht="15.75" customHeight="1">
      <c r="A107" s="7"/>
    </row>
    <row r="108" spans="1:1" ht="15.75" customHeight="1">
      <c r="A108" s="7"/>
    </row>
    <row r="109" spans="1:1" ht="15.75" customHeight="1">
      <c r="A109" s="7"/>
    </row>
    <row r="110" spans="1:1" ht="15.75" customHeight="1">
      <c r="A110" s="7"/>
    </row>
    <row r="111" spans="1:1" ht="15.75" customHeight="1">
      <c r="A111" s="7"/>
    </row>
    <row r="112" spans="1:1" ht="15.75" customHeight="1">
      <c r="A112" s="7"/>
    </row>
    <row r="113" spans="1:1" ht="15.75" customHeight="1">
      <c r="A113" s="7"/>
    </row>
    <row r="114" spans="1:1" ht="15.75" customHeight="1">
      <c r="A114" s="7"/>
    </row>
    <row r="115" spans="1:1" ht="15.75" customHeight="1">
      <c r="A115" s="7"/>
    </row>
    <row r="116" spans="1:1" ht="15.75" customHeight="1">
      <c r="A116" s="7"/>
    </row>
    <row r="117" spans="1:1" ht="15.75" customHeight="1">
      <c r="A117" s="7"/>
    </row>
    <row r="118" spans="1:1" ht="15.75" customHeight="1">
      <c r="A118" s="7"/>
    </row>
    <row r="119" spans="1:1" ht="15.75" customHeight="1">
      <c r="A119" s="7"/>
    </row>
    <row r="120" spans="1:1" ht="15.75" customHeight="1">
      <c r="A120" s="7"/>
    </row>
    <row r="121" spans="1:1" ht="15.75" customHeight="1">
      <c r="A121" s="7"/>
    </row>
    <row r="122" spans="1:1" ht="15.75" customHeight="1">
      <c r="A122" s="7"/>
    </row>
    <row r="123" spans="1:1" ht="15.75" customHeight="1">
      <c r="A123" s="7"/>
    </row>
    <row r="124" spans="1:1" ht="15.75" customHeight="1">
      <c r="A124" s="7"/>
    </row>
    <row r="125" spans="1:1" ht="15.75" customHeight="1">
      <c r="A125" s="7"/>
    </row>
    <row r="126" spans="1:1" ht="15.75" customHeight="1">
      <c r="A126" s="7"/>
    </row>
    <row r="127" spans="1:1" ht="15.75" customHeight="1">
      <c r="A127" s="7"/>
    </row>
    <row r="128" spans="1:1" ht="15.75" customHeight="1">
      <c r="A128" s="7"/>
    </row>
    <row r="129" spans="1:1" ht="15.75" customHeight="1">
      <c r="A129" s="7"/>
    </row>
    <row r="130" spans="1:1" ht="15.75" customHeight="1">
      <c r="A130" s="7"/>
    </row>
    <row r="131" spans="1:1" ht="15.75" customHeight="1">
      <c r="A131" s="7"/>
    </row>
    <row r="132" spans="1:1" ht="15.75" customHeight="1">
      <c r="A132" s="7"/>
    </row>
    <row r="133" spans="1:1" ht="15.75" customHeight="1">
      <c r="A133" s="7"/>
    </row>
    <row r="134" spans="1:1" ht="15.75" customHeight="1">
      <c r="A134" s="7"/>
    </row>
    <row r="135" spans="1:1" ht="15.75" customHeight="1">
      <c r="A135" s="7"/>
    </row>
    <row r="136" spans="1:1" ht="15.75" customHeight="1">
      <c r="A136" s="7"/>
    </row>
    <row r="137" spans="1:1" ht="15.75" customHeight="1">
      <c r="A137" s="7"/>
    </row>
    <row r="138" spans="1:1" ht="15.75" customHeight="1">
      <c r="A138" s="7"/>
    </row>
    <row r="139" spans="1:1" ht="15.75" customHeight="1">
      <c r="A139" s="7"/>
    </row>
    <row r="140" spans="1:1" ht="15.75" customHeight="1">
      <c r="A140" s="7"/>
    </row>
    <row r="141" spans="1:1" ht="15.75" customHeight="1">
      <c r="A141" s="7"/>
    </row>
    <row r="142" spans="1:1" ht="15.75" customHeight="1">
      <c r="A142" s="7"/>
    </row>
    <row r="143" spans="1:1" ht="15.75" customHeight="1">
      <c r="A143" s="7"/>
    </row>
    <row r="144" spans="1:1" ht="15.75" customHeight="1">
      <c r="A144" s="7"/>
    </row>
    <row r="145" spans="1:1" ht="15.75" customHeight="1">
      <c r="A145" s="7"/>
    </row>
    <row r="146" spans="1:1" ht="15.75" customHeight="1">
      <c r="A146" s="7"/>
    </row>
    <row r="147" spans="1:1" ht="15.75" customHeight="1">
      <c r="A147" s="7"/>
    </row>
    <row r="148" spans="1:1" ht="15.75" customHeight="1">
      <c r="A148" s="7"/>
    </row>
    <row r="149" spans="1:1" ht="15.75" customHeight="1">
      <c r="A149" s="7"/>
    </row>
    <row r="150" spans="1:1" ht="15.75" customHeight="1">
      <c r="A150" s="7"/>
    </row>
    <row r="151" spans="1:1" ht="15.75" customHeight="1">
      <c r="A151" s="7"/>
    </row>
    <row r="152" spans="1:1" ht="15.75" customHeight="1">
      <c r="A152" s="7"/>
    </row>
    <row r="153" spans="1:1" ht="15.75" customHeight="1">
      <c r="A153" s="7"/>
    </row>
    <row r="154" spans="1:1" ht="15.75" customHeight="1">
      <c r="A154" s="7"/>
    </row>
    <row r="155" spans="1:1" ht="15.75" customHeight="1">
      <c r="A155" s="7"/>
    </row>
    <row r="156" spans="1:1" ht="15.75" customHeight="1">
      <c r="A156" s="7"/>
    </row>
    <row r="157" spans="1:1" ht="15.75" customHeight="1">
      <c r="A157" s="7"/>
    </row>
    <row r="158" spans="1:1" ht="15.75" customHeight="1">
      <c r="A158" s="7"/>
    </row>
    <row r="159" spans="1:1" ht="15.75" customHeight="1">
      <c r="A159" s="7"/>
    </row>
    <row r="160" spans="1:1" ht="15.75" customHeight="1">
      <c r="A160" s="7"/>
    </row>
    <row r="161" spans="1:1" ht="15.75" customHeight="1">
      <c r="A161" s="7"/>
    </row>
    <row r="162" spans="1:1" ht="15.75" customHeight="1">
      <c r="A162" s="7"/>
    </row>
    <row r="163" spans="1:1" ht="15.75" customHeight="1">
      <c r="A163" s="7"/>
    </row>
    <row r="164" spans="1:1" ht="15.75" customHeight="1">
      <c r="A164" s="7"/>
    </row>
    <row r="165" spans="1:1" ht="15.75" customHeight="1">
      <c r="A165" s="7"/>
    </row>
    <row r="166" spans="1:1" ht="15.75" customHeight="1">
      <c r="A166" s="7"/>
    </row>
    <row r="167" spans="1:1" ht="15.75" customHeight="1">
      <c r="A167" s="7"/>
    </row>
    <row r="168" spans="1:1" ht="15.75" customHeight="1">
      <c r="A168" s="7"/>
    </row>
    <row r="169" spans="1:1" ht="15.75" customHeight="1">
      <c r="A169" s="7"/>
    </row>
    <row r="170" spans="1:1" ht="15.75" customHeight="1">
      <c r="A170" s="7"/>
    </row>
    <row r="171" spans="1:1" ht="15.75" customHeight="1">
      <c r="A171" s="7"/>
    </row>
    <row r="172" spans="1:1" ht="15.75" customHeight="1">
      <c r="A172" s="7"/>
    </row>
    <row r="173" spans="1:1" ht="15.75" customHeight="1">
      <c r="A173" s="7"/>
    </row>
    <row r="174" spans="1:1" ht="15.75" customHeight="1">
      <c r="A174" s="7"/>
    </row>
    <row r="175" spans="1:1" ht="15.75" customHeight="1">
      <c r="A175" s="7"/>
    </row>
    <row r="176" spans="1:1" ht="15.75" customHeight="1">
      <c r="A176" s="7"/>
    </row>
    <row r="177" spans="1:1" ht="15.75" customHeight="1">
      <c r="A177" s="7"/>
    </row>
    <row r="178" spans="1:1" ht="15.75" customHeight="1">
      <c r="A178" s="7"/>
    </row>
    <row r="179" spans="1:1" ht="15.75" customHeight="1">
      <c r="A179" s="7"/>
    </row>
    <row r="180" spans="1:1" ht="15.75" customHeight="1">
      <c r="A180" s="7"/>
    </row>
    <row r="181" spans="1:1" ht="15.75" customHeight="1">
      <c r="A181" s="7"/>
    </row>
    <row r="182" spans="1:1" ht="15.75" customHeight="1">
      <c r="A182" s="7"/>
    </row>
    <row r="183" spans="1:1" ht="15.75" customHeight="1">
      <c r="A183" s="7"/>
    </row>
    <row r="184" spans="1:1" ht="15.75" customHeight="1">
      <c r="A184" s="7"/>
    </row>
    <row r="185" spans="1:1" ht="15.75" customHeight="1">
      <c r="A185" s="7"/>
    </row>
    <row r="186" spans="1:1" ht="15.75" customHeight="1">
      <c r="A186" s="7"/>
    </row>
    <row r="187" spans="1:1" ht="15.75" customHeight="1">
      <c r="A187" s="7"/>
    </row>
    <row r="188" spans="1:1" ht="15.75" customHeight="1">
      <c r="A188" s="7"/>
    </row>
    <row r="189" spans="1:1" ht="15.75" customHeight="1">
      <c r="A189" s="7"/>
    </row>
    <row r="190" spans="1:1" ht="15.75" customHeight="1">
      <c r="A190" s="7"/>
    </row>
    <row r="191" spans="1:1" ht="15.75" customHeight="1">
      <c r="A191" s="7"/>
    </row>
    <row r="192" spans="1:1" ht="15.75" customHeight="1">
      <c r="A192" s="7"/>
    </row>
    <row r="193" spans="1:1" ht="15.75" customHeight="1">
      <c r="A193" s="7"/>
    </row>
    <row r="194" spans="1:1" ht="15.75" customHeight="1">
      <c r="A194" s="7"/>
    </row>
    <row r="195" spans="1:1" ht="15.75" customHeight="1">
      <c r="A195" s="7"/>
    </row>
    <row r="196" spans="1:1" ht="15.75" customHeight="1">
      <c r="A196" s="7"/>
    </row>
    <row r="197" spans="1:1" ht="15.75" customHeight="1">
      <c r="A197" s="7"/>
    </row>
    <row r="198" spans="1:1" ht="15.75" customHeight="1">
      <c r="A198" s="7"/>
    </row>
    <row r="199" spans="1:1" ht="15.75" customHeight="1">
      <c r="A199" s="7"/>
    </row>
    <row r="200" spans="1:1" ht="15.75" customHeight="1">
      <c r="A200" s="7"/>
    </row>
    <row r="201" spans="1:1" ht="15.75" customHeight="1">
      <c r="A201" s="7"/>
    </row>
    <row r="202" spans="1:1" ht="15.75" customHeight="1">
      <c r="A202" s="7"/>
    </row>
    <row r="203" spans="1:1" ht="15.75" customHeight="1">
      <c r="A203" s="7"/>
    </row>
    <row r="204" spans="1:1" ht="15.75" customHeight="1">
      <c r="A204" s="7"/>
    </row>
    <row r="205" spans="1:1" ht="15.75" customHeight="1">
      <c r="A205" s="7"/>
    </row>
    <row r="206" spans="1:1" ht="15.75" customHeight="1">
      <c r="A206" s="7"/>
    </row>
    <row r="207" spans="1:1" ht="15.75" customHeight="1">
      <c r="A207" s="7"/>
    </row>
    <row r="208" spans="1:1" ht="15.75" customHeight="1">
      <c r="A208" s="7"/>
    </row>
    <row r="209" spans="1:1" ht="15.75" customHeight="1">
      <c r="A209" s="7"/>
    </row>
    <row r="210" spans="1:1" ht="15.75" customHeight="1">
      <c r="A210" s="7"/>
    </row>
    <row r="211" spans="1:1" ht="15.75" customHeight="1">
      <c r="A211" s="7"/>
    </row>
    <row r="212" spans="1:1" ht="15.75" customHeight="1">
      <c r="A212" s="7"/>
    </row>
    <row r="213" spans="1:1" ht="15.75" customHeight="1">
      <c r="A213" s="7"/>
    </row>
    <row r="214" spans="1:1" ht="15.75" customHeight="1">
      <c r="A214" s="7"/>
    </row>
    <row r="215" spans="1:1" ht="15.75" customHeight="1">
      <c r="A215" s="7"/>
    </row>
    <row r="216" spans="1:1" ht="15.75" customHeight="1">
      <c r="A216" s="7"/>
    </row>
    <row r="217" spans="1:1" ht="15.75" customHeight="1">
      <c r="A217" s="7"/>
    </row>
    <row r="218" spans="1:1" ht="15.75" customHeight="1">
      <c r="A218" s="7"/>
    </row>
    <row r="219" spans="1:1" ht="15.75" customHeight="1">
      <c r="A219" s="7"/>
    </row>
    <row r="220" spans="1:1" ht="15.75" customHeight="1">
      <c r="A220" s="7"/>
    </row>
    <row r="221" spans="1:1" ht="15.75" customHeight="1">
      <c r="A221" s="7"/>
    </row>
    <row r="222" spans="1:1" ht="15.75" customHeight="1">
      <c r="A222" s="7"/>
    </row>
    <row r="223" spans="1:1" ht="15.75" customHeight="1">
      <c r="A223" s="7"/>
    </row>
    <row r="224" spans="1:1" ht="15.75" customHeight="1">
      <c r="A224" s="7"/>
    </row>
    <row r="225" spans="1:1" ht="15.75" customHeight="1">
      <c r="A225" s="7"/>
    </row>
    <row r="226" spans="1:1" ht="15.75" customHeight="1">
      <c r="A226" s="7"/>
    </row>
    <row r="227" spans="1:1" ht="15.75" customHeight="1">
      <c r="A227" s="7"/>
    </row>
    <row r="228" spans="1:1" ht="15.75" customHeight="1">
      <c r="A228" s="7"/>
    </row>
    <row r="229" spans="1:1" ht="15.75" customHeight="1">
      <c r="A229" s="7"/>
    </row>
    <row r="230" spans="1:1" ht="15.75" customHeight="1">
      <c r="A230" s="7"/>
    </row>
    <row r="231" spans="1:1" ht="15.75" customHeight="1">
      <c r="A231" s="7"/>
    </row>
    <row r="232" spans="1:1" ht="15.75" customHeight="1">
      <c r="A232" s="7"/>
    </row>
    <row r="233" spans="1:1" ht="15.75" customHeight="1">
      <c r="A233" s="7"/>
    </row>
    <row r="234" spans="1:1" ht="15.75" customHeight="1">
      <c r="A234" s="7"/>
    </row>
    <row r="235" spans="1:1" ht="15.75" customHeight="1">
      <c r="A235" s="7"/>
    </row>
    <row r="236" spans="1:1" ht="15.75" customHeight="1">
      <c r="A236" s="7"/>
    </row>
    <row r="237" spans="1:1" ht="15.75" customHeight="1">
      <c r="A237" s="7"/>
    </row>
    <row r="238" spans="1:1" ht="15.75" customHeight="1">
      <c r="A238" s="7"/>
    </row>
    <row r="239" spans="1:1" ht="15.75" customHeight="1">
      <c r="A239" s="7"/>
    </row>
    <row r="240" spans="1:1" ht="15.75" customHeight="1">
      <c r="A240" s="7"/>
    </row>
    <row r="241" spans="1:1" ht="15.75" customHeight="1">
      <c r="A241" s="7"/>
    </row>
    <row r="242" spans="1:1" ht="15.75" customHeight="1">
      <c r="A242" s="7"/>
    </row>
    <row r="243" spans="1:1" ht="15.75" customHeight="1">
      <c r="A243" s="7"/>
    </row>
    <row r="244" spans="1:1" ht="15.75" customHeight="1">
      <c r="A244" s="7"/>
    </row>
    <row r="245" spans="1:1" ht="15.75" customHeight="1">
      <c r="A245" s="7"/>
    </row>
    <row r="246" spans="1:1" ht="15.75" customHeight="1">
      <c r="A246" s="7"/>
    </row>
    <row r="247" spans="1:1" ht="15.75" customHeight="1">
      <c r="A247" s="7"/>
    </row>
    <row r="248" spans="1:1" ht="15.75" customHeight="1">
      <c r="A248" s="7"/>
    </row>
    <row r="249" spans="1:1" ht="15.75" customHeight="1">
      <c r="A249" s="7"/>
    </row>
    <row r="250" spans="1:1" ht="15.75" customHeight="1">
      <c r="A250" s="7"/>
    </row>
    <row r="251" spans="1:1" ht="15.75" customHeight="1">
      <c r="A251" s="7"/>
    </row>
    <row r="252" spans="1:1" ht="15.75" customHeight="1">
      <c r="A252" s="7"/>
    </row>
    <row r="253" spans="1:1" ht="15.75" customHeight="1">
      <c r="A253" s="7"/>
    </row>
    <row r="254" spans="1:1" ht="15.75" customHeight="1">
      <c r="A254" s="7"/>
    </row>
    <row r="255" spans="1:1" ht="15.75" customHeight="1">
      <c r="A255" s="7"/>
    </row>
    <row r="256" spans="1:1" ht="15.75" customHeight="1">
      <c r="A256" s="7"/>
    </row>
    <row r="257" spans="1:1" ht="15.75" customHeight="1">
      <c r="A257" s="7"/>
    </row>
    <row r="258" spans="1:1" ht="15.75" customHeight="1">
      <c r="A258" s="7"/>
    </row>
    <row r="259" spans="1:1" ht="15.75" customHeight="1">
      <c r="A259" s="7"/>
    </row>
    <row r="260" spans="1:1" ht="15.75" customHeight="1">
      <c r="A260" s="7"/>
    </row>
    <row r="261" spans="1:1" ht="15.75" customHeight="1">
      <c r="A261" s="7"/>
    </row>
    <row r="262" spans="1:1" ht="15.75" customHeight="1">
      <c r="A262" s="7"/>
    </row>
    <row r="263" spans="1:1" ht="15.75" customHeight="1">
      <c r="A263" s="7"/>
    </row>
    <row r="264" spans="1:1" ht="15.75" customHeight="1">
      <c r="A264" s="7"/>
    </row>
    <row r="265" spans="1:1" ht="15.75" customHeight="1">
      <c r="A265" s="7"/>
    </row>
    <row r="266" spans="1:1" ht="15.75" customHeight="1">
      <c r="A266" s="7"/>
    </row>
    <row r="267" spans="1:1" ht="15.75" customHeight="1">
      <c r="A267" s="7"/>
    </row>
    <row r="268" spans="1:1" ht="15.75" customHeight="1">
      <c r="A268" s="7"/>
    </row>
    <row r="269" spans="1:1" ht="15.75" customHeight="1">
      <c r="A269" s="7"/>
    </row>
    <row r="270" spans="1:1" ht="15.75" customHeight="1">
      <c r="A270" s="7"/>
    </row>
    <row r="271" spans="1:1" ht="15.75" customHeight="1">
      <c r="A271" s="7"/>
    </row>
    <row r="272" spans="1:1" ht="15.75" customHeight="1">
      <c r="A272" s="7"/>
    </row>
    <row r="273" spans="1:1" ht="15.75" customHeight="1">
      <c r="A273" s="7"/>
    </row>
    <row r="274" spans="1:1" ht="15.75" customHeight="1">
      <c r="A274" s="7"/>
    </row>
    <row r="275" spans="1:1" ht="15.75" customHeight="1">
      <c r="A275" s="7"/>
    </row>
    <row r="276" spans="1:1" ht="15.75" customHeight="1">
      <c r="A276" s="7"/>
    </row>
    <row r="277" spans="1:1" ht="15.75" customHeight="1">
      <c r="A277" s="7"/>
    </row>
    <row r="278" spans="1:1" ht="15.75" customHeight="1">
      <c r="A278" s="7"/>
    </row>
    <row r="279" spans="1:1" ht="15.75" customHeight="1">
      <c r="A279" s="7"/>
    </row>
    <row r="280" spans="1:1" ht="15.75" customHeight="1">
      <c r="A280" s="7"/>
    </row>
    <row r="281" spans="1:1" ht="15.75" customHeight="1">
      <c r="A281" s="7"/>
    </row>
    <row r="282" spans="1:1" ht="15.75" customHeight="1">
      <c r="A282" s="7"/>
    </row>
    <row r="283" spans="1:1" ht="15.75" customHeight="1">
      <c r="A283" s="7"/>
    </row>
    <row r="284" spans="1:1" ht="15.75" customHeight="1">
      <c r="A284" s="7"/>
    </row>
    <row r="285" spans="1:1" ht="15.75" customHeight="1">
      <c r="A285" s="7"/>
    </row>
    <row r="286" spans="1:1" ht="15.75" customHeight="1">
      <c r="A286" s="7"/>
    </row>
    <row r="287" spans="1:1" ht="15.75" customHeight="1">
      <c r="A287" s="7"/>
    </row>
    <row r="288" spans="1:1" ht="15.75" customHeight="1">
      <c r="A288" s="7"/>
    </row>
    <row r="289" spans="1:1" ht="15.75" customHeight="1">
      <c r="A289" s="7"/>
    </row>
    <row r="290" spans="1:1" ht="15.75" customHeight="1">
      <c r="A290" s="7"/>
    </row>
    <row r="291" spans="1:1" ht="15.75" customHeight="1">
      <c r="A291" s="7"/>
    </row>
    <row r="292" spans="1:1" ht="15.75" customHeight="1">
      <c r="A292" s="7"/>
    </row>
    <row r="293" spans="1:1" ht="15.75" customHeight="1">
      <c r="A293" s="7"/>
    </row>
    <row r="294" spans="1:1" ht="15.75" customHeight="1">
      <c r="A294" s="7"/>
    </row>
    <row r="295" spans="1:1" ht="15.75" customHeight="1">
      <c r="A295" s="7"/>
    </row>
    <row r="296" spans="1:1" ht="15.75" customHeight="1">
      <c r="A296" s="7"/>
    </row>
    <row r="297" spans="1:1" ht="15.75" customHeight="1">
      <c r="A297" s="7"/>
    </row>
    <row r="298" spans="1:1" ht="15.75" customHeight="1">
      <c r="A298" s="7"/>
    </row>
    <row r="299" spans="1:1" ht="15.75" customHeight="1">
      <c r="A299" s="7"/>
    </row>
    <row r="300" spans="1:1" ht="15.75" customHeight="1">
      <c r="A300" s="7"/>
    </row>
    <row r="301" spans="1:1" ht="15.75" customHeight="1">
      <c r="A301" s="7"/>
    </row>
    <row r="302" spans="1:1" ht="15.75" customHeight="1">
      <c r="A302" s="7"/>
    </row>
    <row r="303" spans="1:1" ht="15.75" customHeight="1">
      <c r="A303" s="7"/>
    </row>
    <row r="304" spans="1:1" ht="15.75" customHeight="1">
      <c r="A304" s="7"/>
    </row>
    <row r="305" spans="1:1" ht="15.75" customHeight="1">
      <c r="A305" s="7"/>
    </row>
    <row r="306" spans="1:1" ht="15.75" customHeight="1">
      <c r="A306" s="7"/>
    </row>
    <row r="307" spans="1:1" ht="15.75" customHeight="1">
      <c r="A307" s="7"/>
    </row>
    <row r="308" spans="1:1" ht="15.75" customHeight="1">
      <c r="A308" s="7"/>
    </row>
    <row r="309" spans="1:1" ht="15.75" customHeight="1">
      <c r="A309" s="7"/>
    </row>
    <row r="310" spans="1:1" ht="15.75" customHeight="1">
      <c r="A310" s="7"/>
    </row>
    <row r="311" spans="1:1" ht="15.75" customHeight="1">
      <c r="A311" s="7"/>
    </row>
    <row r="312" spans="1:1" ht="15.75" customHeight="1">
      <c r="A312" s="7"/>
    </row>
    <row r="313" spans="1:1" ht="15.75" customHeight="1">
      <c r="A313" s="7"/>
    </row>
    <row r="314" spans="1:1" ht="15.75" customHeight="1">
      <c r="A314" s="7"/>
    </row>
    <row r="315" spans="1:1" ht="15.75" customHeight="1">
      <c r="A315" s="7"/>
    </row>
    <row r="316" spans="1:1" ht="15.75" customHeight="1">
      <c r="A316" s="7"/>
    </row>
    <row r="317" spans="1:1" ht="15.75" customHeight="1">
      <c r="A317" s="7"/>
    </row>
    <row r="318" spans="1:1" ht="15.75" customHeight="1">
      <c r="A318" s="7"/>
    </row>
    <row r="319" spans="1:1" ht="15.75" customHeight="1">
      <c r="A319" s="7"/>
    </row>
    <row r="320" spans="1:1" ht="15.75" customHeight="1">
      <c r="A320" s="7"/>
    </row>
    <row r="321" spans="1:1" ht="15.75" customHeight="1">
      <c r="A321" s="7"/>
    </row>
    <row r="322" spans="1:1" ht="15.75" customHeight="1">
      <c r="A322" s="7"/>
    </row>
    <row r="323" spans="1:1" ht="15.75" customHeight="1">
      <c r="A323" s="7"/>
    </row>
    <row r="324" spans="1:1" ht="15.75" customHeight="1">
      <c r="A324" s="7"/>
    </row>
    <row r="325" spans="1:1" ht="15.75" customHeight="1">
      <c r="A325" s="7"/>
    </row>
    <row r="326" spans="1:1" ht="15.75" customHeight="1">
      <c r="A326" s="7"/>
    </row>
    <row r="327" spans="1:1" ht="15.75" customHeight="1">
      <c r="A327" s="7"/>
    </row>
    <row r="328" spans="1:1" ht="15.75" customHeight="1">
      <c r="A328" s="7"/>
    </row>
    <row r="329" spans="1:1" ht="15.75" customHeight="1">
      <c r="A329" s="7"/>
    </row>
    <row r="330" spans="1:1" ht="15.75" customHeight="1">
      <c r="A330" s="7"/>
    </row>
    <row r="331" spans="1:1" ht="15.75" customHeight="1">
      <c r="A331" s="7"/>
    </row>
    <row r="332" spans="1:1" ht="15.75" customHeight="1">
      <c r="A332" s="7"/>
    </row>
    <row r="333" spans="1:1" ht="15.75" customHeight="1">
      <c r="A333" s="7"/>
    </row>
    <row r="334" spans="1:1" ht="15.75" customHeight="1">
      <c r="A334" s="7"/>
    </row>
    <row r="335" spans="1:1" ht="15.75" customHeight="1">
      <c r="A335" s="7"/>
    </row>
    <row r="336" spans="1:1" ht="15.75" customHeight="1">
      <c r="A336" s="7"/>
    </row>
    <row r="337" spans="1:1" ht="15.75" customHeight="1">
      <c r="A337" s="7"/>
    </row>
    <row r="338" spans="1:1" ht="15.75" customHeight="1">
      <c r="A338" s="7"/>
    </row>
    <row r="339" spans="1:1" ht="15.75" customHeight="1">
      <c r="A339" s="7"/>
    </row>
    <row r="340" spans="1:1" ht="15.75" customHeight="1">
      <c r="A340" s="7"/>
    </row>
    <row r="341" spans="1:1" ht="15.75" customHeight="1">
      <c r="A341" s="7"/>
    </row>
    <row r="342" spans="1:1" ht="15.75" customHeight="1">
      <c r="A342" s="7"/>
    </row>
    <row r="343" spans="1:1" ht="15.75" customHeight="1">
      <c r="A343" s="7"/>
    </row>
    <row r="344" spans="1:1" ht="15.75" customHeight="1">
      <c r="A344" s="7"/>
    </row>
    <row r="345" spans="1:1" ht="15.75" customHeight="1">
      <c r="A345" s="7"/>
    </row>
    <row r="346" spans="1:1" ht="15.75" customHeight="1">
      <c r="A346" s="7"/>
    </row>
    <row r="347" spans="1:1" ht="15.75" customHeight="1">
      <c r="A347" s="7"/>
    </row>
    <row r="348" spans="1:1" ht="15.75" customHeight="1">
      <c r="A348" s="7"/>
    </row>
    <row r="349" spans="1:1" ht="15.75" customHeight="1">
      <c r="A349" s="7"/>
    </row>
    <row r="350" spans="1:1" ht="15.75" customHeight="1">
      <c r="A350" s="7"/>
    </row>
    <row r="351" spans="1:1" ht="15.75" customHeight="1">
      <c r="A351" s="7"/>
    </row>
    <row r="352" spans="1:1" ht="15.75" customHeight="1">
      <c r="A352" s="7"/>
    </row>
    <row r="353" spans="1:1" ht="15.75" customHeight="1">
      <c r="A353" s="7"/>
    </row>
    <row r="354" spans="1:1" ht="15.75" customHeight="1">
      <c r="A354" s="7"/>
    </row>
    <row r="355" spans="1:1" ht="15.75" customHeight="1">
      <c r="A355" s="7"/>
    </row>
    <row r="356" spans="1:1" ht="15.75" customHeight="1">
      <c r="A356" s="7"/>
    </row>
    <row r="357" spans="1:1" ht="15.75" customHeight="1">
      <c r="A357" s="7"/>
    </row>
    <row r="358" spans="1:1" ht="15.75" customHeight="1">
      <c r="A358" s="7"/>
    </row>
    <row r="359" spans="1:1" ht="15.75" customHeight="1">
      <c r="A359" s="7"/>
    </row>
    <row r="360" spans="1:1" ht="15.75" customHeight="1">
      <c r="A360" s="7"/>
    </row>
    <row r="361" spans="1:1" ht="15.75" customHeight="1">
      <c r="A361" s="7"/>
    </row>
    <row r="362" spans="1:1" ht="15.75" customHeight="1">
      <c r="A362" s="7"/>
    </row>
    <row r="363" spans="1:1" ht="15.75" customHeight="1">
      <c r="A363" s="7"/>
    </row>
    <row r="364" spans="1:1" ht="15.75" customHeight="1">
      <c r="A364" s="7"/>
    </row>
    <row r="365" spans="1:1" ht="15.75" customHeight="1">
      <c r="A365" s="7"/>
    </row>
    <row r="366" spans="1:1" ht="15.75" customHeight="1">
      <c r="A366" s="7"/>
    </row>
    <row r="367" spans="1:1" ht="15.75" customHeight="1">
      <c r="A367" s="7"/>
    </row>
    <row r="368" spans="1:1" ht="15.75" customHeight="1">
      <c r="A368" s="7"/>
    </row>
    <row r="369" spans="1:1" ht="15.75" customHeight="1">
      <c r="A369" s="7"/>
    </row>
    <row r="370" spans="1:1" ht="15.75" customHeight="1">
      <c r="A370" s="7"/>
    </row>
    <row r="371" spans="1:1" ht="15.75" customHeight="1">
      <c r="A371" s="7"/>
    </row>
    <row r="372" spans="1:1" ht="15.75" customHeight="1">
      <c r="A372" s="7"/>
    </row>
    <row r="373" spans="1:1" ht="15.75" customHeight="1">
      <c r="A373" s="7"/>
    </row>
    <row r="374" spans="1:1" ht="15.75" customHeight="1">
      <c r="A374" s="7"/>
    </row>
    <row r="375" spans="1:1" ht="15.75" customHeight="1">
      <c r="A375" s="7"/>
    </row>
    <row r="376" spans="1:1" ht="15.75" customHeight="1">
      <c r="A376" s="7"/>
    </row>
    <row r="377" spans="1:1" ht="15.75" customHeight="1">
      <c r="A377" s="7"/>
    </row>
    <row r="378" spans="1:1" ht="15.75" customHeight="1">
      <c r="A378" s="7"/>
    </row>
    <row r="379" spans="1:1" ht="15.75" customHeight="1">
      <c r="A379" s="7"/>
    </row>
    <row r="380" spans="1:1" ht="15.75" customHeight="1">
      <c r="A380" s="7"/>
    </row>
    <row r="381" spans="1:1" ht="15.75" customHeight="1">
      <c r="A381" s="7"/>
    </row>
    <row r="382" spans="1:1" ht="15.75" customHeight="1">
      <c r="A382" s="7"/>
    </row>
    <row r="383" spans="1:1" ht="15.75" customHeight="1">
      <c r="A383" s="7"/>
    </row>
    <row r="384" spans="1:1" ht="15.75" customHeight="1">
      <c r="A384" s="7"/>
    </row>
    <row r="385" spans="1:1" ht="15.75" customHeight="1">
      <c r="A385" s="7"/>
    </row>
    <row r="386" spans="1:1" ht="15.75" customHeight="1">
      <c r="A386" s="7"/>
    </row>
    <row r="387" spans="1:1" ht="15.75" customHeight="1">
      <c r="A387" s="7"/>
    </row>
    <row r="388" spans="1:1" ht="15.75" customHeight="1">
      <c r="A388" s="7"/>
    </row>
    <row r="389" spans="1:1" ht="15.75" customHeight="1">
      <c r="A389" s="7"/>
    </row>
    <row r="390" spans="1:1" ht="15.75" customHeight="1">
      <c r="A390" s="7"/>
    </row>
    <row r="391" spans="1:1" ht="15.75" customHeight="1">
      <c r="A391" s="7"/>
    </row>
    <row r="392" spans="1:1" ht="15.75" customHeight="1">
      <c r="A392" s="7"/>
    </row>
    <row r="393" spans="1:1" ht="15.75" customHeight="1">
      <c r="A393" s="7"/>
    </row>
    <row r="394" spans="1:1" ht="15.75" customHeight="1">
      <c r="A394" s="7"/>
    </row>
    <row r="395" spans="1:1" ht="15.75" customHeight="1">
      <c r="A395" s="7"/>
    </row>
    <row r="396" spans="1:1" ht="15.75" customHeight="1">
      <c r="A396" s="7"/>
    </row>
    <row r="397" spans="1:1" ht="15.75" customHeight="1">
      <c r="A397" s="7"/>
    </row>
    <row r="398" spans="1:1" ht="15.75" customHeight="1">
      <c r="A398" s="7"/>
    </row>
    <row r="399" spans="1:1" ht="15.75" customHeight="1">
      <c r="A399" s="7"/>
    </row>
    <row r="400" spans="1:1" ht="15.75" customHeight="1">
      <c r="A400" s="7"/>
    </row>
    <row r="401" spans="1:1" ht="15.75" customHeight="1">
      <c r="A401" s="7"/>
    </row>
    <row r="402" spans="1:1" ht="15.75" customHeight="1">
      <c r="A402" s="7"/>
    </row>
    <row r="403" spans="1:1" ht="15.75" customHeight="1">
      <c r="A403" s="7"/>
    </row>
    <row r="404" spans="1:1" ht="15.75" customHeight="1">
      <c r="A404" s="7"/>
    </row>
    <row r="405" spans="1:1" ht="15.75" customHeight="1">
      <c r="A405" s="7"/>
    </row>
    <row r="406" spans="1:1" ht="15.75" customHeight="1">
      <c r="A406" s="7"/>
    </row>
    <row r="407" spans="1:1" ht="15.75" customHeight="1">
      <c r="A407" s="7"/>
    </row>
    <row r="408" spans="1:1" ht="15.75" customHeight="1">
      <c r="A408" s="7"/>
    </row>
    <row r="409" spans="1:1" ht="15.75" customHeight="1">
      <c r="A409" s="7"/>
    </row>
    <row r="410" spans="1:1" ht="15.75" customHeight="1">
      <c r="A410" s="7"/>
    </row>
    <row r="411" spans="1:1" ht="15.75" customHeight="1">
      <c r="A411" s="7"/>
    </row>
    <row r="412" spans="1:1" ht="15.75" customHeight="1">
      <c r="A412" s="7"/>
    </row>
    <row r="413" spans="1:1" ht="15.75" customHeight="1">
      <c r="A413" s="7"/>
    </row>
    <row r="414" spans="1:1" ht="15.75" customHeight="1">
      <c r="A414" s="7"/>
    </row>
    <row r="415" spans="1:1" ht="15.75" customHeight="1">
      <c r="A415" s="7"/>
    </row>
    <row r="416" spans="1:1" ht="15.75" customHeight="1">
      <c r="A416" s="7"/>
    </row>
    <row r="417" spans="1:1" ht="15.75" customHeight="1">
      <c r="A417" s="7"/>
    </row>
    <row r="418" spans="1:1" ht="15.75" customHeight="1">
      <c r="A418" s="7"/>
    </row>
    <row r="419" spans="1:1" ht="15.75" customHeight="1">
      <c r="A419" s="7"/>
    </row>
    <row r="420" spans="1:1" ht="15.75" customHeight="1">
      <c r="A420" s="7"/>
    </row>
    <row r="421" spans="1:1" ht="15.75" customHeight="1">
      <c r="A421" s="7"/>
    </row>
    <row r="422" spans="1:1" ht="15.75" customHeight="1">
      <c r="A422" s="7"/>
    </row>
    <row r="423" spans="1:1" ht="15.75" customHeight="1">
      <c r="A423" s="7"/>
    </row>
    <row r="424" spans="1:1" ht="15.75" customHeight="1">
      <c r="A424" s="7"/>
    </row>
    <row r="425" spans="1:1" ht="15.75" customHeight="1">
      <c r="A425" s="7"/>
    </row>
    <row r="426" spans="1:1" ht="15.75" customHeight="1">
      <c r="A426" s="7"/>
    </row>
    <row r="427" spans="1:1" ht="15.75" customHeight="1">
      <c r="A427" s="7"/>
    </row>
    <row r="428" spans="1:1" ht="15.75" customHeight="1">
      <c r="A428" s="7"/>
    </row>
    <row r="429" spans="1:1" ht="15.75" customHeight="1">
      <c r="A429" s="7"/>
    </row>
    <row r="430" spans="1:1" ht="15.75" customHeight="1">
      <c r="A430" s="7"/>
    </row>
    <row r="431" spans="1:1" ht="15.75" customHeight="1">
      <c r="A431" s="7"/>
    </row>
    <row r="432" spans="1:1" ht="15.75" customHeight="1">
      <c r="A432" s="7"/>
    </row>
    <row r="433" spans="1:1" ht="15.75" customHeight="1">
      <c r="A433" s="7"/>
    </row>
    <row r="434" spans="1:1" ht="15.75" customHeight="1">
      <c r="A434" s="7"/>
    </row>
    <row r="435" spans="1:1" ht="15.75" customHeight="1">
      <c r="A435" s="7"/>
    </row>
    <row r="436" spans="1:1" ht="15.75" customHeight="1">
      <c r="A436" s="7"/>
    </row>
    <row r="437" spans="1:1" ht="15.75" customHeight="1">
      <c r="A437" s="7"/>
    </row>
    <row r="438" spans="1:1" ht="15.75" customHeight="1">
      <c r="A438" s="7"/>
    </row>
    <row r="439" spans="1:1" ht="15.75" customHeight="1">
      <c r="A439" s="7"/>
    </row>
    <row r="440" spans="1:1" ht="15.75" customHeight="1">
      <c r="A440" s="7"/>
    </row>
    <row r="441" spans="1:1" ht="15.75" customHeight="1">
      <c r="A441" s="7"/>
    </row>
    <row r="442" spans="1:1" ht="15.75" customHeight="1">
      <c r="A442" s="7"/>
    </row>
    <row r="443" spans="1:1" ht="15.75" customHeight="1">
      <c r="A443" s="7"/>
    </row>
    <row r="444" spans="1:1" ht="15.75" customHeight="1">
      <c r="A444" s="7"/>
    </row>
    <row r="445" spans="1:1" ht="15.75" customHeight="1">
      <c r="A445" s="7"/>
    </row>
    <row r="446" spans="1:1" ht="15.75" customHeight="1">
      <c r="A446" s="7"/>
    </row>
    <row r="447" spans="1:1" ht="15.75" customHeight="1">
      <c r="A447" s="7"/>
    </row>
    <row r="448" spans="1:1" ht="15.75" customHeight="1">
      <c r="A448" s="7"/>
    </row>
    <row r="449" spans="1:1" ht="15.75" customHeight="1">
      <c r="A449" s="7"/>
    </row>
    <row r="450" spans="1:1" ht="15.75" customHeight="1">
      <c r="A450" s="7"/>
    </row>
    <row r="451" spans="1:1" ht="15.75" customHeight="1">
      <c r="A451" s="7"/>
    </row>
    <row r="452" spans="1:1" ht="15.75" customHeight="1">
      <c r="A452" s="7"/>
    </row>
    <row r="453" spans="1:1" ht="15.75" customHeight="1">
      <c r="A453" s="7"/>
    </row>
    <row r="454" spans="1:1" ht="15.75" customHeight="1">
      <c r="A454" s="7"/>
    </row>
    <row r="455" spans="1:1" ht="15.75" customHeight="1">
      <c r="A455" s="7"/>
    </row>
    <row r="456" spans="1:1" ht="15.75" customHeight="1">
      <c r="A456" s="7"/>
    </row>
    <row r="457" spans="1:1" ht="15.75" customHeight="1">
      <c r="A457" s="7"/>
    </row>
    <row r="458" spans="1:1" ht="15.75" customHeight="1">
      <c r="A458" s="7"/>
    </row>
    <row r="459" spans="1:1" ht="15.75" customHeight="1">
      <c r="A459" s="7"/>
    </row>
    <row r="460" spans="1:1" ht="15.75" customHeight="1">
      <c r="A460" s="7"/>
    </row>
    <row r="461" spans="1:1" ht="15.75" customHeight="1">
      <c r="A461" s="7"/>
    </row>
    <row r="462" spans="1:1" ht="15.75" customHeight="1">
      <c r="A462" s="7"/>
    </row>
    <row r="463" spans="1:1" ht="15.75" customHeight="1">
      <c r="A463" s="7"/>
    </row>
    <row r="464" spans="1:1" ht="15.75" customHeight="1">
      <c r="A464" s="7"/>
    </row>
    <row r="465" spans="1:1" ht="15.75" customHeight="1">
      <c r="A465" s="7"/>
    </row>
    <row r="466" spans="1:1" ht="15.75" customHeight="1">
      <c r="A466" s="7"/>
    </row>
    <row r="467" spans="1:1" ht="15.75" customHeight="1">
      <c r="A467" s="7"/>
    </row>
    <row r="468" spans="1:1" ht="15.75" customHeight="1">
      <c r="A468" s="7"/>
    </row>
    <row r="469" spans="1:1" ht="15.75" customHeight="1">
      <c r="A469" s="7"/>
    </row>
    <row r="470" spans="1:1" ht="15.75" customHeight="1">
      <c r="A470" s="7"/>
    </row>
    <row r="471" spans="1:1" ht="15.75" customHeight="1">
      <c r="A471" s="7"/>
    </row>
    <row r="472" spans="1:1" ht="15.75" customHeight="1">
      <c r="A472" s="7"/>
    </row>
    <row r="473" spans="1:1" ht="15.75" customHeight="1">
      <c r="A473" s="7"/>
    </row>
    <row r="474" spans="1:1" ht="15.75" customHeight="1">
      <c r="A474" s="7"/>
    </row>
    <row r="475" spans="1:1" ht="15.75" customHeight="1">
      <c r="A475" s="7"/>
    </row>
    <row r="476" spans="1:1" ht="15.75" customHeight="1">
      <c r="A476" s="7"/>
    </row>
    <row r="477" spans="1:1" ht="15.75" customHeight="1">
      <c r="A477" s="7"/>
    </row>
    <row r="478" spans="1:1" ht="15.75" customHeight="1">
      <c r="A478" s="7"/>
    </row>
    <row r="479" spans="1:1" ht="15.75" customHeight="1">
      <c r="A479" s="7"/>
    </row>
    <row r="480" spans="1:1" ht="15.75" customHeight="1">
      <c r="A480" s="7"/>
    </row>
    <row r="481" spans="1:1" ht="15.75" customHeight="1">
      <c r="A481" s="7"/>
    </row>
    <row r="482" spans="1:1" ht="15.75" customHeight="1">
      <c r="A482" s="7"/>
    </row>
    <row r="483" spans="1:1" ht="15.75" customHeight="1">
      <c r="A483" s="7"/>
    </row>
    <row r="484" spans="1:1" ht="15.75" customHeight="1">
      <c r="A484" s="7"/>
    </row>
    <row r="485" spans="1:1" ht="15.75" customHeight="1">
      <c r="A485" s="7"/>
    </row>
    <row r="486" spans="1:1" ht="15.75" customHeight="1">
      <c r="A486" s="7"/>
    </row>
    <row r="487" spans="1:1" ht="15.75" customHeight="1">
      <c r="A487" s="7"/>
    </row>
    <row r="488" spans="1:1" ht="15.75" customHeight="1">
      <c r="A488" s="7"/>
    </row>
    <row r="489" spans="1:1" ht="15.75" customHeight="1">
      <c r="A489" s="7"/>
    </row>
    <row r="490" spans="1:1" ht="15.75" customHeight="1">
      <c r="A490" s="7"/>
    </row>
    <row r="491" spans="1:1" ht="15.75" customHeight="1">
      <c r="A491" s="7"/>
    </row>
    <row r="492" spans="1:1" ht="15.75" customHeight="1">
      <c r="A492" s="7"/>
    </row>
    <row r="493" spans="1:1" ht="15.75" customHeight="1">
      <c r="A493" s="7"/>
    </row>
    <row r="494" spans="1:1" ht="15.75" customHeight="1">
      <c r="A494" s="7"/>
    </row>
    <row r="495" spans="1:1" ht="15.75" customHeight="1">
      <c r="A495" s="7"/>
    </row>
    <row r="496" spans="1:1" ht="15.75" customHeight="1">
      <c r="A496" s="7"/>
    </row>
    <row r="497" spans="1:1" ht="15.75" customHeight="1">
      <c r="A497" s="7"/>
    </row>
    <row r="498" spans="1:1" ht="15.75" customHeight="1">
      <c r="A498" s="7"/>
    </row>
    <row r="499" spans="1:1" ht="15.75" customHeight="1">
      <c r="A499" s="7"/>
    </row>
    <row r="500" spans="1:1" ht="15.75" customHeight="1">
      <c r="A500" s="7"/>
    </row>
    <row r="501" spans="1:1" ht="15.75" customHeight="1">
      <c r="A501" s="7"/>
    </row>
    <row r="502" spans="1:1" ht="15.75" customHeight="1">
      <c r="A502" s="7"/>
    </row>
    <row r="503" spans="1:1" ht="15.75" customHeight="1">
      <c r="A503" s="7"/>
    </row>
    <row r="504" spans="1:1" ht="15.75" customHeight="1">
      <c r="A504" s="7"/>
    </row>
    <row r="505" spans="1:1" ht="15.75" customHeight="1">
      <c r="A505" s="7"/>
    </row>
    <row r="506" spans="1:1" ht="15.75" customHeight="1">
      <c r="A506" s="7"/>
    </row>
    <row r="507" spans="1:1" ht="15.75" customHeight="1">
      <c r="A507" s="7"/>
    </row>
    <row r="508" spans="1:1" ht="15.75" customHeight="1">
      <c r="A508" s="7"/>
    </row>
    <row r="509" spans="1:1" ht="15.75" customHeight="1">
      <c r="A509" s="7"/>
    </row>
    <row r="510" spans="1:1" ht="15.75" customHeight="1">
      <c r="A510" s="7"/>
    </row>
    <row r="511" spans="1:1" ht="15.75" customHeight="1">
      <c r="A511" s="7"/>
    </row>
    <row r="512" spans="1:1" ht="15.75" customHeight="1">
      <c r="A512" s="7"/>
    </row>
    <row r="513" spans="1:1" ht="15.75" customHeight="1">
      <c r="A513" s="7"/>
    </row>
    <row r="514" spans="1:1" ht="15.75" customHeight="1">
      <c r="A514" s="7"/>
    </row>
    <row r="515" spans="1:1" ht="15.75" customHeight="1">
      <c r="A515" s="7"/>
    </row>
    <row r="516" spans="1:1" ht="15.75" customHeight="1">
      <c r="A516" s="7"/>
    </row>
    <row r="517" spans="1:1" ht="15.75" customHeight="1">
      <c r="A517" s="7"/>
    </row>
    <row r="518" spans="1:1" ht="15.75" customHeight="1">
      <c r="A518" s="7"/>
    </row>
    <row r="519" spans="1:1" ht="15.75" customHeight="1">
      <c r="A519" s="7"/>
    </row>
    <row r="520" spans="1:1" ht="15.75" customHeight="1">
      <c r="A520" s="7"/>
    </row>
    <row r="521" spans="1:1" ht="15.75" customHeight="1">
      <c r="A521" s="7"/>
    </row>
    <row r="522" spans="1:1" ht="15.75" customHeight="1">
      <c r="A522" s="7"/>
    </row>
    <row r="523" spans="1:1" ht="15.75" customHeight="1">
      <c r="A523" s="7"/>
    </row>
    <row r="524" spans="1:1" ht="15.75" customHeight="1">
      <c r="A524" s="7"/>
    </row>
    <row r="525" spans="1:1" ht="15.75" customHeight="1">
      <c r="A525" s="7"/>
    </row>
    <row r="526" spans="1:1" ht="15.75" customHeight="1">
      <c r="A526" s="7"/>
    </row>
    <row r="527" spans="1:1" ht="15.75" customHeight="1">
      <c r="A527" s="7"/>
    </row>
    <row r="528" spans="1:1" ht="15.75" customHeight="1">
      <c r="A528" s="7"/>
    </row>
    <row r="529" spans="1:1" ht="15.75" customHeight="1">
      <c r="A529" s="7"/>
    </row>
    <row r="530" spans="1:1" ht="15.75" customHeight="1">
      <c r="A530" s="7"/>
    </row>
    <row r="531" spans="1:1" ht="15.75" customHeight="1">
      <c r="A531" s="7"/>
    </row>
    <row r="532" spans="1:1" ht="15.75" customHeight="1">
      <c r="A532" s="7"/>
    </row>
    <row r="533" spans="1:1" ht="15.75" customHeight="1">
      <c r="A533" s="7"/>
    </row>
    <row r="534" spans="1:1" ht="15.75" customHeight="1">
      <c r="A534" s="7"/>
    </row>
    <row r="535" spans="1:1" ht="15.75" customHeight="1">
      <c r="A535" s="7"/>
    </row>
    <row r="536" spans="1:1" ht="15.75" customHeight="1">
      <c r="A536" s="7"/>
    </row>
    <row r="537" spans="1:1" ht="15.75" customHeight="1">
      <c r="A537" s="7"/>
    </row>
    <row r="538" spans="1:1" ht="15.75" customHeight="1">
      <c r="A538" s="7"/>
    </row>
    <row r="539" spans="1:1" ht="15.75" customHeight="1">
      <c r="A539" s="7"/>
    </row>
    <row r="540" spans="1:1" ht="15.75" customHeight="1">
      <c r="A540" s="7"/>
    </row>
    <row r="541" spans="1:1" ht="15.75" customHeight="1">
      <c r="A541" s="7"/>
    </row>
    <row r="542" spans="1:1" ht="15.75" customHeight="1">
      <c r="A542" s="7"/>
    </row>
    <row r="543" spans="1:1" ht="15.75" customHeight="1">
      <c r="A543" s="7"/>
    </row>
    <row r="544" spans="1:1" ht="15.75" customHeight="1">
      <c r="A544" s="7"/>
    </row>
    <row r="545" spans="1:1" ht="15.75" customHeight="1">
      <c r="A545" s="7"/>
    </row>
    <row r="546" spans="1:1" ht="15.75" customHeight="1">
      <c r="A546" s="7"/>
    </row>
    <row r="547" spans="1:1" ht="15.75" customHeight="1">
      <c r="A547" s="7"/>
    </row>
    <row r="548" spans="1:1" ht="15.75" customHeight="1">
      <c r="A548" s="7"/>
    </row>
    <row r="549" spans="1:1" ht="15.75" customHeight="1">
      <c r="A549" s="7"/>
    </row>
    <row r="550" spans="1:1" ht="15.75" customHeight="1">
      <c r="A550" s="7"/>
    </row>
    <row r="551" spans="1:1" ht="15.75" customHeight="1">
      <c r="A551" s="7"/>
    </row>
    <row r="552" spans="1:1" ht="15.75" customHeight="1">
      <c r="A552" s="7"/>
    </row>
    <row r="553" spans="1:1" ht="15.75" customHeight="1">
      <c r="A553" s="7"/>
    </row>
    <row r="554" spans="1:1" ht="15.75" customHeight="1">
      <c r="A554" s="7"/>
    </row>
    <row r="555" spans="1:1" ht="15.75" customHeight="1">
      <c r="A555" s="7"/>
    </row>
    <row r="556" spans="1:1" ht="15.75" customHeight="1">
      <c r="A556" s="7"/>
    </row>
    <row r="557" spans="1:1" ht="15.75" customHeight="1">
      <c r="A557" s="7"/>
    </row>
    <row r="558" spans="1:1" ht="15.75" customHeight="1">
      <c r="A558" s="7"/>
    </row>
    <row r="559" spans="1:1" ht="15.75" customHeight="1">
      <c r="A559" s="7"/>
    </row>
    <row r="560" spans="1:1" ht="15.75" customHeight="1">
      <c r="A560" s="7"/>
    </row>
    <row r="561" spans="1:1" ht="15.75" customHeight="1">
      <c r="A561" s="7"/>
    </row>
    <row r="562" spans="1:1" ht="15.75" customHeight="1">
      <c r="A562" s="7"/>
    </row>
    <row r="563" spans="1:1" ht="15.75" customHeight="1">
      <c r="A563" s="7"/>
    </row>
    <row r="564" spans="1:1" ht="15.75" customHeight="1">
      <c r="A564" s="7"/>
    </row>
    <row r="565" spans="1:1" ht="15.75" customHeight="1">
      <c r="A565" s="7"/>
    </row>
    <row r="566" spans="1:1" ht="15.75" customHeight="1">
      <c r="A566" s="7"/>
    </row>
    <row r="567" spans="1:1" ht="15.75" customHeight="1">
      <c r="A567" s="7"/>
    </row>
    <row r="568" spans="1:1" ht="15.75" customHeight="1">
      <c r="A568" s="7"/>
    </row>
    <row r="569" spans="1:1" ht="15.75" customHeight="1">
      <c r="A569" s="7"/>
    </row>
    <row r="570" spans="1:1" ht="15.75" customHeight="1">
      <c r="A570" s="7"/>
    </row>
    <row r="571" spans="1:1" ht="15.75" customHeight="1">
      <c r="A571" s="7"/>
    </row>
    <row r="572" spans="1:1" ht="15.75" customHeight="1">
      <c r="A572" s="7"/>
    </row>
    <row r="573" spans="1:1" ht="15.75" customHeight="1">
      <c r="A573" s="7"/>
    </row>
    <row r="574" spans="1:1" ht="15.75" customHeight="1">
      <c r="A574" s="7"/>
    </row>
    <row r="575" spans="1:1" ht="15.75" customHeight="1">
      <c r="A575" s="7"/>
    </row>
    <row r="576" spans="1:1" ht="15.75" customHeight="1">
      <c r="A576" s="7"/>
    </row>
    <row r="577" spans="1:1" ht="15.75" customHeight="1">
      <c r="A577" s="7"/>
    </row>
    <row r="578" spans="1:1" ht="15.75" customHeight="1">
      <c r="A578" s="7"/>
    </row>
    <row r="579" spans="1:1" ht="15.75" customHeight="1">
      <c r="A579" s="7"/>
    </row>
    <row r="580" spans="1:1" ht="15.75" customHeight="1">
      <c r="A580" s="7"/>
    </row>
    <row r="581" spans="1:1" ht="15.75" customHeight="1">
      <c r="A581" s="7"/>
    </row>
    <row r="582" spans="1:1" ht="15.75" customHeight="1">
      <c r="A582" s="7"/>
    </row>
    <row r="583" spans="1:1" ht="15.75" customHeight="1">
      <c r="A583" s="7"/>
    </row>
    <row r="584" spans="1:1" ht="15.75" customHeight="1">
      <c r="A584" s="7"/>
    </row>
    <row r="585" spans="1:1" ht="15.75" customHeight="1">
      <c r="A585" s="7"/>
    </row>
    <row r="586" spans="1:1" ht="15.75" customHeight="1">
      <c r="A586" s="7"/>
    </row>
    <row r="587" spans="1:1" ht="15.75" customHeight="1">
      <c r="A587" s="7"/>
    </row>
    <row r="588" spans="1:1" ht="15.75" customHeight="1">
      <c r="A588" s="7"/>
    </row>
    <row r="589" spans="1:1" ht="15.75" customHeight="1">
      <c r="A589" s="7"/>
    </row>
    <row r="590" spans="1:1" ht="15.75" customHeight="1">
      <c r="A590" s="7"/>
    </row>
    <row r="591" spans="1:1" ht="15.75" customHeight="1">
      <c r="A591" s="7"/>
    </row>
    <row r="592" spans="1:1" ht="15.75" customHeight="1">
      <c r="A592" s="7"/>
    </row>
    <row r="593" spans="1:1" ht="15.75" customHeight="1">
      <c r="A593" s="7"/>
    </row>
    <row r="594" spans="1:1" ht="15.75" customHeight="1">
      <c r="A594" s="7"/>
    </row>
    <row r="595" spans="1:1" ht="15.75" customHeight="1">
      <c r="A595" s="7"/>
    </row>
    <row r="596" spans="1:1" ht="15.75" customHeight="1">
      <c r="A596" s="7"/>
    </row>
    <row r="597" spans="1:1" ht="15.75" customHeight="1">
      <c r="A597" s="7"/>
    </row>
    <row r="598" spans="1:1" ht="15.75" customHeight="1">
      <c r="A598" s="7"/>
    </row>
    <row r="599" spans="1:1" ht="15.75" customHeight="1">
      <c r="A599" s="7"/>
    </row>
    <row r="600" spans="1:1" ht="15.75" customHeight="1">
      <c r="A600" s="7"/>
    </row>
    <row r="601" spans="1:1" ht="15.75" customHeight="1">
      <c r="A601" s="7"/>
    </row>
    <row r="602" spans="1:1" ht="15.75" customHeight="1">
      <c r="A602" s="7"/>
    </row>
    <row r="603" spans="1:1" ht="15.75" customHeight="1">
      <c r="A603" s="7"/>
    </row>
    <row r="604" spans="1:1" ht="15.75" customHeight="1">
      <c r="A604" s="7"/>
    </row>
    <row r="605" spans="1:1" ht="15.75" customHeight="1">
      <c r="A605" s="7"/>
    </row>
    <row r="606" spans="1:1" ht="15.75" customHeight="1">
      <c r="A606" s="7"/>
    </row>
    <row r="607" spans="1:1" ht="15.75" customHeight="1">
      <c r="A607" s="7"/>
    </row>
    <row r="608" spans="1:1" ht="15.75" customHeight="1">
      <c r="A608" s="7"/>
    </row>
    <row r="609" spans="1:1" ht="15.75" customHeight="1">
      <c r="A609" s="7"/>
    </row>
    <row r="610" spans="1:1" ht="15.75" customHeight="1">
      <c r="A610" s="7"/>
    </row>
    <row r="611" spans="1:1" ht="15.75" customHeight="1">
      <c r="A611" s="7"/>
    </row>
    <row r="612" spans="1:1" ht="15.75" customHeight="1">
      <c r="A612" s="7"/>
    </row>
    <row r="613" spans="1:1" ht="15.75" customHeight="1">
      <c r="A613" s="7"/>
    </row>
    <row r="614" spans="1:1" ht="15.75" customHeight="1">
      <c r="A614" s="7"/>
    </row>
    <row r="615" spans="1:1" ht="15.75" customHeight="1">
      <c r="A615" s="7"/>
    </row>
    <row r="616" spans="1:1" ht="15.75" customHeight="1">
      <c r="A616" s="7"/>
    </row>
    <row r="617" spans="1:1" ht="15.75" customHeight="1">
      <c r="A617" s="7"/>
    </row>
    <row r="618" spans="1:1" ht="15.75" customHeight="1">
      <c r="A618" s="7"/>
    </row>
    <row r="619" spans="1:1" ht="15.75" customHeight="1">
      <c r="A619" s="7"/>
    </row>
    <row r="620" spans="1:1" ht="15.75" customHeight="1">
      <c r="A620" s="7"/>
    </row>
    <row r="621" spans="1:1" ht="15.75" customHeight="1">
      <c r="A621" s="7"/>
    </row>
    <row r="622" spans="1:1" ht="15.75" customHeight="1">
      <c r="A622" s="7"/>
    </row>
    <row r="623" spans="1:1" ht="15.75" customHeight="1">
      <c r="A623" s="7"/>
    </row>
    <row r="624" spans="1:1" ht="15.75" customHeight="1">
      <c r="A624" s="7"/>
    </row>
    <row r="625" spans="1:1" ht="15.75" customHeight="1">
      <c r="A625" s="7"/>
    </row>
    <row r="626" spans="1:1" ht="15.75" customHeight="1">
      <c r="A626" s="7"/>
    </row>
    <row r="627" spans="1:1" ht="15.75" customHeight="1">
      <c r="A627" s="7"/>
    </row>
    <row r="628" spans="1:1" ht="15.75" customHeight="1">
      <c r="A628" s="7"/>
    </row>
    <row r="629" spans="1:1" ht="15.75" customHeight="1">
      <c r="A629" s="7"/>
    </row>
    <row r="630" spans="1:1" ht="15.75" customHeight="1">
      <c r="A630" s="7"/>
    </row>
    <row r="631" spans="1:1" ht="15.75" customHeight="1">
      <c r="A631" s="7"/>
    </row>
    <row r="632" spans="1:1" ht="15.75" customHeight="1">
      <c r="A632" s="7"/>
    </row>
    <row r="633" spans="1:1" ht="15.75" customHeight="1">
      <c r="A633" s="7"/>
    </row>
    <row r="634" spans="1:1" ht="15.75" customHeight="1">
      <c r="A634" s="7"/>
    </row>
    <row r="635" spans="1:1" ht="15.75" customHeight="1">
      <c r="A635" s="7"/>
    </row>
    <row r="636" spans="1:1" ht="15.75" customHeight="1">
      <c r="A636" s="7"/>
    </row>
    <row r="637" spans="1:1" ht="15.75" customHeight="1">
      <c r="A637" s="7"/>
    </row>
    <row r="638" spans="1:1" ht="15.75" customHeight="1">
      <c r="A638" s="7"/>
    </row>
    <row r="639" spans="1:1" ht="15.75" customHeight="1">
      <c r="A639" s="7"/>
    </row>
    <row r="640" spans="1:1" ht="15.75" customHeight="1">
      <c r="A640" s="7"/>
    </row>
    <row r="641" spans="1:1" ht="15.75" customHeight="1">
      <c r="A641" s="7"/>
    </row>
    <row r="642" spans="1:1" ht="15.75" customHeight="1">
      <c r="A642" s="7"/>
    </row>
    <row r="643" spans="1:1" ht="15.75" customHeight="1">
      <c r="A643" s="7"/>
    </row>
    <row r="644" spans="1:1" ht="15.75" customHeight="1">
      <c r="A644" s="7"/>
    </row>
    <row r="645" spans="1:1" ht="15.75" customHeight="1">
      <c r="A645" s="7"/>
    </row>
    <row r="646" spans="1:1" ht="15.75" customHeight="1">
      <c r="A646" s="7"/>
    </row>
    <row r="647" spans="1:1" ht="15.75" customHeight="1">
      <c r="A647" s="7"/>
    </row>
    <row r="648" spans="1:1" ht="15.75" customHeight="1">
      <c r="A648" s="7"/>
    </row>
    <row r="649" spans="1:1" ht="15.75" customHeight="1">
      <c r="A649" s="7"/>
    </row>
    <row r="650" spans="1:1" ht="15.75" customHeight="1">
      <c r="A650" s="7"/>
    </row>
    <row r="651" spans="1:1" ht="15.75" customHeight="1">
      <c r="A651" s="7"/>
    </row>
    <row r="652" spans="1:1" ht="15.75" customHeight="1">
      <c r="A652" s="7"/>
    </row>
    <row r="653" spans="1:1" ht="15.75" customHeight="1">
      <c r="A653" s="7"/>
    </row>
    <row r="654" spans="1:1" ht="15.75" customHeight="1">
      <c r="A654" s="7"/>
    </row>
    <row r="655" spans="1:1" ht="15.75" customHeight="1">
      <c r="A655" s="7"/>
    </row>
    <row r="656" spans="1:1" ht="15.75" customHeight="1">
      <c r="A656" s="7"/>
    </row>
    <row r="657" spans="1:1" ht="15.75" customHeight="1">
      <c r="A657" s="7"/>
    </row>
    <row r="658" spans="1:1" ht="15.75" customHeight="1">
      <c r="A658" s="7"/>
    </row>
    <row r="659" spans="1:1" ht="15.75" customHeight="1">
      <c r="A659" s="7"/>
    </row>
    <row r="660" spans="1:1" ht="15.75" customHeight="1">
      <c r="A660" s="7"/>
    </row>
    <row r="661" spans="1:1" ht="15.75" customHeight="1">
      <c r="A661" s="7"/>
    </row>
    <row r="662" spans="1:1" ht="15.75" customHeight="1">
      <c r="A662" s="7"/>
    </row>
    <row r="663" spans="1:1" ht="15.75" customHeight="1">
      <c r="A663" s="7"/>
    </row>
    <row r="664" spans="1:1" ht="15.75" customHeight="1">
      <c r="A664" s="7"/>
    </row>
    <row r="665" spans="1:1" ht="15.75" customHeight="1">
      <c r="A665" s="7"/>
    </row>
    <row r="666" spans="1:1" ht="15.75" customHeight="1">
      <c r="A666" s="7"/>
    </row>
    <row r="667" spans="1:1" ht="15.75" customHeight="1">
      <c r="A667" s="7"/>
    </row>
    <row r="668" spans="1:1" ht="15.75" customHeight="1">
      <c r="A668" s="7"/>
    </row>
    <row r="669" spans="1:1" ht="15.75" customHeight="1">
      <c r="A669" s="7"/>
    </row>
    <row r="670" spans="1:1" ht="15.75" customHeight="1">
      <c r="A670" s="7"/>
    </row>
    <row r="671" spans="1:1" ht="15.75" customHeight="1">
      <c r="A671" s="7"/>
    </row>
    <row r="672" spans="1:1" ht="15.75" customHeight="1">
      <c r="A672" s="7"/>
    </row>
    <row r="673" spans="1:1" ht="15.75" customHeight="1">
      <c r="A673" s="7"/>
    </row>
    <row r="674" spans="1:1" ht="15.75" customHeight="1">
      <c r="A674" s="7"/>
    </row>
    <row r="675" spans="1:1" ht="15.75" customHeight="1">
      <c r="A675" s="7"/>
    </row>
    <row r="676" spans="1:1" ht="15.75" customHeight="1">
      <c r="A676" s="7"/>
    </row>
    <row r="677" spans="1:1" ht="15.75" customHeight="1">
      <c r="A677" s="7"/>
    </row>
    <row r="678" spans="1:1" ht="15.75" customHeight="1">
      <c r="A678" s="7"/>
    </row>
    <row r="679" spans="1:1" ht="15.75" customHeight="1">
      <c r="A679" s="7"/>
    </row>
    <row r="680" spans="1:1" ht="15.75" customHeight="1">
      <c r="A680" s="7"/>
    </row>
    <row r="681" spans="1:1" ht="15.75" customHeight="1">
      <c r="A681" s="7"/>
    </row>
    <row r="682" spans="1:1" ht="15.75" customHeight="1">
      <c r="A682" s="7"/>
    </row>
    <row r="683" spans="1:1" ht="15.75" customHeight="1">
      <c r="A683" s="7"/>
    </row>
    <row r="684" spans="1:1" ht="15.75" customHeight="1">
      <c r="A684" s="7"/>
    </row>
    <row r="685" spans="1:1" ht="15.75" customHeight="1">
      <c r="A685" s="7"/>
    </row>
    <row r="686" spans="1:1" ht="15.75" customHeight="1">
      <c r="A686" s="7"/>
    </row>
    <row r="687" spans="1:1" ht="15.75" customHeight="1">
      <c r="A687" s="7"/>
    </row>
    <row r="688" spans="1:1" ht="15.75" customHeight="1">
      <c r="A688" s="7"/>
    </row>
    <row r="689" spans="1:1" ht="15.75" customHeight="1">
      <c r="A689" s="7"/>
    </row>
    <row r="690" spans="1:1" ht="15.75" customHeight="1">
      <c r="A690" s="7"/>
    </row>
    <row r="691" spans="1:1" ht="15.75" customHeight="1">
      <c r="A691" s="7"/>
    </row>
    <row r="692" spans="1:1" ht="15.75" customHeight="1">
      <c r="A692" s="7"/>
    </row>
    <row r="693" spans="1:1" ht="15.75" customHeight="1">
      <c r="A693" s="7"/>
    </row>
    <row r="694" spans="1:1" ht="15.75" customHeight="1">
      <c r="A694" s="7"/>
    </row>
    <row r="695" spans="1:1" ht="15.75" customHeight="1">
      <c r="A695" s="7"/>
    </row>
    <row r="696" spans="1:1" ht="15.75" customHeight="1">
      <c r="A696" s="7"/>
    </row>
    <row r="697" spans="1:1" ht="15.75" customHeight="1">
      <c r="A697" s="7"/>
    </row>
    <row r="698" spans="1:1" ht="15.75" customHeight="1">
      <c r="A698" s="7"/>
    </row>
    <row r="699" spans="1:1" ht="15.75" customHeight="1">
      <c r="A699" s="7"/>
    </row>
    <row r="700" spans="1:1" ht="15.75" customHeight="1">
      <c r="A700" s="7"/>
    </row>
    <row r="701" spans="1:1" ht="15.75" customHeight="1">
      <c r="A701" s="7"/>
    </row>
    <row r="702" spans="1:1" ht="15.75" customHeight="1">
      <c r="A702" s="7"/>
    </row>
    <row r="703" spans="1:1" ht="15.75" customHeight="1">
      <c r="A703" s="7"/>
    </row>
    <row r="704" spans="1:1" ht="15.75" customHeight="1">
      <c r="A704" s="7"/>
    </row>
    <row r="705" spans="1:1" ht="15.75" customHeight="1">
      <c r="A705" s="7"/>
    </row>
    <row r="706" spans="1:1" ht="15.75" customHeight="1">
      <c r="A706" s="7"/>
    </row>
    <row r="707" spans="1:1" ht="15.75" customHeight="1">
      <c r="A707" s="7"/>
    </row>
    <row r="708" spans="1:1" ht="15.75" customHeight="1">
      <c r="A708" s="7"/>
    </row>
    <row r="709" spans="1:1" ht="15.75" customHeight="1">
      <c r="A709" s="7"/>
    </row>
    <row r="710" spans="1:1" ht="15.75" customHeight="1">
      <c r="A710" s="7"/>
    </row>
    <row r="711" spans="1:1" ht="15.75" customHeight="1">
      <c r="A711" s="7"/>
    </row>
    <row r="712" spans="1:1" ht="15.75" customHeight="1">
      <c r="A712" s="7"/>
    </row>
    <row r="713" spans="1:1" ht="15.75" customHeight="1">
      <c r="A713" s="7"/>
    </row>
    <row r="714" spans="1:1" ht="15.75" customHeight="1">
      <c r="A714" s="7"/>
    </row>
    <row r="715" spans="1:1" ht="15.75" customHeight="1">
      <c r="A715" s="7"/>
    </row>
    <row r="716" spans="1:1" ht="15.75" customHeight="1">
      <c r="A716" s="7"/>
    </row>
    <row r="717" spans="1:1" ht="15.75" customHeight="1">
      <c r="A717" s="7"/>
    </row>
    <row r="718" spans="1:1" ht="15.75" customHeight="1">
      <c r="A718" s="7"/>
    </row>
    <row r="719" spans="1:1" ht="15.75" customHeight="1">
      <c r="A719" s="7"/>
    </row>
    <row r="720" spans="1:1" ht="15.75" customHeight="1">
      <c r="A720" s="7"/>
    </row>
    <row r="721" spans="1:1" ht="15.75" customHeight="1">
      <c r="A721" s="7"/>
    </row>
    <row r="722" spans="1:1" ht="15.75" customHeight="1">
      <c r="A722" s="7"/>
    </row>
    <row r="723" spans="1:1" ht="15.75" customHeight="1">
      <c r="A723" s="7"/>
    </row>
    <row r="724" spans="1:1" ht="15.75" customHeight="1">
      <c r="A724" s="7"/>
    </row>
    <row r="725" spans="1:1" ht="15.75" customHeight="1">
      <c r="A725" s="7"/>
    </row>
    <row r="726" spans="1:1" ht="15.75" customHeight="1">
      <c r="A726" s="7"/>
    </row>
    <row r="727" spans="1:1" ht="15.75" customHeight="1">
      <c r="A727" s="7"/>
    </row>
    <row r="728" spans="1:1" ht="15.75" customHeight="1">
      <c r="A728" s="7"/>
    </row>
    <row r="729" spans="1:1" ht="15.75" customHeight="1">
      <c r="A729" s="7"/>
    </row>
    <row r="730" spans="1:1" ht="15.75" customHeight="1">
      <c r="A730" s="7"/>
    </row>
    <row r="731" spans="1:1" ht="15.75" customHeight="1">
      <c r="A731" s="7"/>
    </row>
    <row r="732" spans="1:1" ht="15.75" customHeight="1">
      <c r="A732" s="7"/>
    </row>
    <row r="733" spans="1:1" ht="15.75" customHeight="1">
      <c r="A733" s="7"/>
    </row>
    <row r="734" spans="1:1" ht="15.75" customHeight="1">
      <c r="A734" s="7"/>
    </row>
    <row r="735" spans="1:1" ht="15.75" customHeight="1">
      <c r="A735" s="7"/>
    </row>
    <row r="736" spans="1:1" ht="15.75" customHeight="1">
      <c r="A736" s="7"/>
    </row>
    <row r="737" spans="1:1" ht="15.75" customHeight="1">
      <c r="A737" s="7"/>
    </row>
    <row r="738" spans="1:1" ht="15.75" customHeight="1">
      <c r="A738" s="7"/>
    </row>
    <row r="739" spans="1:1" ht="15.75" customHeight="1">
      <c r="A739" s="7"/>
    </row>
    <row r="740" spans="1:1" ht="15.75" customHeight="1">
      <c r="A740" s="7"/>
    </row>
    <row r="741" spans="1:1" ht="15.75" customHeight="1">
      <c r="A741" s="7"/>
    </row>
    <row r="742" spans="1:1" ht="15.75" customHeight="1">
      <c r="A742" s="7"/>
    </row>
    <row r="743" spans="1:1" ht="15.75" customHeight="1">
      <c r="A743" s="7"/>
    </row>
    <row r="744" spans="1:1" ht="15.75" customHeight="1">
      <c r="A744" s="7"/>
    </row>
    <row r="745" spans="1:1" ht="15.75" customHeight="1">
      <c r="A745" s="7"/>
    </row>
    <row r="746" spans="1:1" ht="15.75" customHeight="1">
      <c r="A746" s="7"/>
    </row>
    <row r="747" spans="1:1" ht="15.75" customHeight="1">
      <c r="A747" s="7"/>
    </row>
    <row r="748" spans="1:1" ht="15.75" customHeight="1">
      <c r="A748" s="7"/>
    </row>
    <row r="749" spans="1:1" ht="15.75" customHeight="1">
      <c r="A749" s="7"/>
    </row>
    <row r="750" spans="1:1" ht="15.75" customHeight="1">
      <c r="A750" s="7"/>
    </row>
    <row r="751" spans="1:1" ht="15.75" customHeight="1">
      <c r="A751" s="7"/>
    </row>
    <row r="752" spans="1:1" ht="15.75" customHeight="1">
      <c r="A752" s="7"/>
    </row>
    <row r="753" spans="1:1" ht="15.75" customHeight="1">
      <c r="A753" s="7"/>
    </row>
    <row r="754" spans="1:1" ht="15.75" customHeight="1">
      <c r="A754" s="7"/>
    </row>
    <row r="755" spans="1:1" ht="15.75" customHeight="1">
      <c r="A755" s="7"/>
    </row>
    <row r="756" spans="1:1" ht="15.75" customHeight="1">
      <c r="A756" s="7"/>
    </row>
    <row r="757" spans="1:1" ht="15.75" customHeight="1">
      <c r="A757" s="7"/>
    </row>
    <row r="758" spans="1:1" ht="15.75" customHeight="1">
      <c r="A758" s="7"/>
    </row>
    <row r="759" spans="1:1" ht="15.75" customHeight="1">
      <c r="A759" s="7"/>
    </row>
    <row r="760" spans="1:1" ht="15.75" customHeight="1">
      <c r="A760" s="7"/>
    </row>
    <row r="761" spans="1:1" ht="15.75" customHeight="1">
      <c r="A761" s="7"/>
    </row>
    <row r="762" spans="1:1" ht="15.75" customHeight="1">
      <c r="A762" s="7"/>
    </row>
    <row r="763" spans="1:1" ht="15.75" customHeight="1">
      <c r="A763" s="7"/>
    </row>
    <row r="764" spans="1:1" ht="15.75" customHeight="1">
      <c r="A764" s="7"/>
    </row>
    <row r="765" spans="1:1" ht="15.75" customHeight="1">
      <c r="A765" s="7"/>
    </row>
    <row r="766" spans="1:1" ht="15.75" customHeight="1">
      <c r="A766" s="7"/>
    </row>
    <row r="767" spans="1:1" ht="15.75" customHeight="1">
      <c r="A767" s="7"/>
    </row>
    <row r="768" spans="1:1" ht="15.75" customHeight="1">
      <c r="A768" s="7"/>
    </row>
    <row r="769" spans="1:1" ht="15.75" customHeight="1">
      <c r="A769" s="7"/>
    </row>
    <row r="770" spans="1:1" ht="15.75" customHeight="1">
      <c r="A770" s="7"/>
    </row>
    <row r="771" spans="1:1" ht="15.75" customHeight="1">
      <c r="A771" s="7"/>
    </row>
    <row r="772" spans="1:1" ht="15.75" customHeight="1">
      <c r="A772" s="7"/>
    </row>
    <row r="773" spans="1:1" ht="15.75" customHeight="1">
      <c r="A773" s="7"/>
    </row>
    <row r="774" spans="1:1" ht="15.75" customHeight="1">
      <c r="A774" s="7"/>
    </row>
    <row r="775" spans="1:1" ht="15.75" customHeight="1">
      <c r="A775" s="7"/>
    </row>
    <row r="776" spans="1:1" ht="15.75" customHeight="1">
      <c r="A776" s="7"/>
    </row>
    <row r="777" spans="1:1" ht="15.75" customHeight="1">
      <c r="A777" s="7"/>
    </row>
    <row r="778" spans="1:1" ht="15.75" customHeight="1">
      <c r="A778" s="7"/>
    </row>
    <row r="779" spans="1:1" ht="15.75" customHeight="1">
      <c r="A779" s="7"/>
    </row>
    <row r="780" spans="1:1" ht="15.75" customHeight="1">
      <c r="A780" s="7"/>
    </row>
    <row r="781" spans="1:1" ht="15.75" customHeight="1">
      <c r="A781" s="7"/>
    </row>
    <row r="782" spans="1:1" ht="15.75" customHeight="1">
      <c r="A782" s="7"/>
    </row>
    <row r="783" spans="1:1" ht="15.75" customHeight="1">
      <c r="A783" s="7"/>
    </row>
    <row r="784" spans="1:1" ht="15.75" customHeight="1">
      <c r="A784" s="7"/>
    </row>
    <row r="785" spans="1:1" ht="15.75" customHeight="1">
      <c r="A785" s="7"/>
    </row>
    <row r="786" spans="1:1" ht="15.75" customHeight="1">
      <c r="A786" s="7"/>
    </row>
    <row r="787" spans="1:1" ht="15.75" customHeight="1">
      <c r="A787" s="7"/>
    </row>
    <row r="788" spans="1:1" ht="15.75" customHeight="1">
      <c r="A788" s="7"/>
    </row>
    <row r="789" spans="1:1" ht="15.75" customHeight="1">
      <c r="A789" s="7"/>
    </row>
    <row r="790" spans="1:1" ht="15.75" customHeight="1">
      <c r="A790" s="7"/>
    </row>
    <row r="791" spans="1:1" ht="15.75" customHeight="1">
      <c r="A791" s="7"/>
    </row>
    <row r="792" spans="1:1" ht="15.75" customHeight="1">
      <c r="A792" s="7"/>
    </row>
    <row r="793" spans="1:1" ht="15.75" customHeight="1">
      <c r="A793" s="7"/>
    </row>
    <row r="794" spans="1:1" ht="15.75" customHeight="1">
      <c r="A794" s="7"/>
    </row>
    <row r="795" spans="1:1" ht="15.75" customHeight="1">
      <c r="A795" s="7"/>
    </row>
    <row r="796" spans="1:1" ht="15.75" customHeight="1">
      <c r="A796" s="7"/>
    </row>
    <row r="797" spans="1:1" ht="15.75" customHeight="1">
      <c r="A797" s="7"/>
    </row>
    <row r="798" spans="1:1" ht="15.75" customHeight="1">
      <c r="A798" s="7"/>
    </row>
    <row r="799" spans="1:1" ht="15.75" customHeight="1">
      <c r="A799" s="7"/>
    </row>
    <row r="800" spans="1:1" ht="15.75" customHeight="1">
      <c r="A800" s="7"/>
    </row>
    <row r="801" spans="1:1" ht="15.75" customHeight="1">
      <c r="A801" s="7"/>
    </row>
    <row r="802" spans="1:1" ht="15.75" customHeight="1">
      <c r="A802" s="7"/>
    </row>
    <row r="803" spans="1:1" ht="15.75" customHeight="1">
      <c r="A803" s="7"/>
    </row>
    <row r="804" spans="1:1" ht="15.75" customHeight="1">
      <c r="A804" s="7"/>
    </row>
    <row r="805" spans="1:1" ht="15.75" customHeight="1">
      <c r="A805" s="7"/>
    </row>
    <row r="806" spans="1:1" ht="15.75" customHeight="1">
      <c r="A806" s="7"/>
    </row>
    <row r="807" spans="1:1" ht="15.75" customHeight="1">
      <c r="A807" s="7"/>
    </row>
    <row r="808" spans="1:1" ht="15.75" customHeight="1">
      <c r="A808" s="7"/>
    </row>
    <row r="809" spans="1:1" ht="15.75" customHeight="1">
      <c r="A809" s="7"/>
    </row>
    <row r="810" spans="1:1" ht="15.75" customHeight="1">
      <c r="A810" s="7"/>
    </row>
    <row r="811" spans="1:1" ht="15.75" customHeight="1">
      <c r="A811" s="7"/>
    </row>
    <row r="812" spans="1:1" ht="15.75" customHeight="1">
      <c r="A812" s="7"/>
    </row>
    <row r="813" spans="1:1" ht="15.75" customHeight="1">
      <c r="A813" s="7"/>
    </row>
    <row r="814" spans="1:1" ht="15.75" customHeight="1">
      <c r="A814" s="7"/>
    </row>
    <row r="815" spans="1:1" ht="15.75" customHeight="1">
      <c r="A815" s="7"/>
    </row>
    <row r="816" spans="1:1" ht="15.75" customHeight="1">
      <c r="A816" s="7"/>
    </row>
    <row r="817" spans="1:1" ht="15.75" customHeight="1">
      <c r="A817" s="7"/>
    </row>
    <row r="818" spans="1:1" ht="15.75" customHeight="1">
      <c r="A818" s="7"/>
    </row>
    <row r="819" spans="1:1" ht="15.75" customHeight="1">
      <c r="A819" s="7"/>
    </row>
    <row r="820" spans="1:1" ht="15.75" customHeight="1">
      <c r="A820" s="7"/>
    </row>
    <row r="821" spans="1:1" ht="15.75" customHeight="1">
      <c r="A821" s="7"/>
    </row>
    <row r="822" spans="1:1" ht="15.75" customHeight="1">
      <c r="A822" s="7"/>
    </row>
    <row r="823" spans="1:1" ht="15.75" customHeight="1">
      <c r="A823" s="7"/>
    </row>
    <row r="824" spans="1:1" ht="15.75" customHeight="1">
      <c r="A824" s="7"/>
    </row>
    <row r="825" spans="1:1" ht="15.75" customHeight="1">
      <c r="A825" s="7"/>
    </row>
    <row r="826" spans="1:1" ht="15.75" customHeight="1">
      <c r="A826" s="7"/>
    </row>
    <row r="827" spans="1:1" ht="15.75" customHeight="1">
      <c r="A827" s="7"/>
    </row>
    <row r="828" spans="1:1" ht="15.75" customHeight="1">
      <c r="A828" s="7"/>
    </row>
    <row r="829" spans="1:1" ht="15.75" customHeight="1">
      <c r="A829" s="7"/>
    </row>
    <row r="830" spans="1:1" ht="15.75" customHeight="1">
      <c r="A830" s="7"/>
    </row>
    <row r="831" spans="1:1" ht="15.75" customHeight="1">
      <c r="A831" s="7"/>
    </row>
    <row r="832" spans="1:1" ht="15.75" customHeight="1">
      <c r="A832" s="7"/>
    </row>
    <row r="833" spans="1:1" ht="15.75" customHeight="1">
      <c r="A833" s="7"/>
    </row>
    <row r="834" spans="1:1" ht="15.75" customHeight="1">
      <c r="A834" s="7"/>
    </row>
    <row r="835" spans="1:1" ht="15.75" customHeight="1">
      <c r="A835" s="7"/>
    </row>
    <row r="836" spans="1:1" ht="15.75" customHeight="1">
      <c r="A836" s="7"/>
    </row>
    <row r="837" spans="1:1" ht="15.75" customHeight="1">
      <c r="A837" s="7"/>
    </row>
    <row r="838" spans="1:1" ht="15.75" customHeight="1">
      <c r="A838" s="7"/>
    </row>
    <row r="839" spans="1:1" ht="15.75" customHeight="1">
      <c r="A839" s="7"/>
    </row>
    <row r="840" spans="1:1" ht="15.75" customHeight="1">
      <c r="A840" s="7"/>
    </row>
    <row r="841" spans="1:1" ht="15.75" customHeight="1">
      <c r="A841" s="7"/>
    </row>
    <row r="842" spans="1:1" ht="15.75" customHeight="1">
      <c r="A842" s="7"/>
    </row>
    <row r="843" spans="1:1" ht="15.75" customHeight="1">
      <c r="A843" s="7"/>
    </row>
    <row r="844" spans="1:1" ht="15.75" customHeight="1">
      <c r="A844" s="7"/>
    </row>
    <row r="845" spans="1:1" ht="15.75" customHeight="1">
      <c r="A845" s="7"/>
    </row>
    <row r="846" spans="1:1" ht="15.75" customHeight="1">
      <c r="A846" s="7"/>
    </row>
    <row r="847" spans="1:1" ht="15.75" customHeight="1">
      <c r="A847" s="7"/>
    </row>
    <row r="848" spans="1:1" ht="15.75" customHeight="1">
      <c r="A848" s="7"/>
    </row>
    <row r="849" spans="1:1" ht="15.75" customHeight="1">
      <c r="A849" s="7"/>
    </row>
    <row r="850" spans="1:1" ht="15.75" customHeight="1">
      <c r="A850" s="7"/>
    </row>
    <row r="851" spans="1:1" ht="15.75" customHeight="1">
      <c r="A851" s="7"/>
    </row>
    <row r="852" spans="1:1" ht="15.75" customHeight="1">
      <c r="A852" s="7"/>
    </row>
    <row r="853" spans="1:1" ht="15.75" customHeight="1">
      <c r="A853" s="7"/>
    </row>
    <row r="854" spans="1:1" ht="15.75" customHeight="1">
      <c r="A854" s="7"/>
    </row>
    <row r="855" spans="1:1" ht="15.75" customHeight="1">
      <c r="A855" s="7"/>
    </row>
    <row r="856" spans="1:1" ht="15.75" customHeight="1">
      <c r="A856" s="7"/>
    </row>
    <row r="857" spans="1:1" ht="15.75" customHeight="1">
      <c r="A857" s="7"/>
    </row>
    <row r="858" spans="1:1" ht="15.75" customHeight="1">
      <c r="A858" s="7"/>
    </row>
    <row r="859" spans="1:1" ht="15.75" customHeight="1">
      <c r="A859" s="7"/>
    </row>
    <row r="860" spans="1:1" ht="15.75" customHeight="1">
      <c r="A860" s="7"/>
    </row>
    <row r="861" spans="1:1" ht="15.75" customHeight="1">
      <c r="A861" s="7"/>
    </row>
    <row r="862" spans="1:1" ht="15.75" customHeight="1">
      <c r="A862" s="7"/>
    </row>
    <row r="863" spans="1:1" ht="15.75" customHeight="1">
      <c r="A863" s="7"/>
    </row>
    <row r="864" spans="1:1" ht="15.75" customHeight="1">
      <c r="A864" s="7"/>
    </row>
    <row r="865" spans="1:1" ht="15.75" customHeight="1">
      <c r="A865" s="7"/>
    </row>
    <row r="866" spans="1:1" ht="15.75" customHeight="1">
      <c r="A866" s="7"/>
    </row>
    <row r="867" spans="1:1" ht="15.75" customHeight="1">
      <c r="A867" s="7"/>
    </row>
    <row r="868" spans="1:1" ht="15.75" customHeight="1">
      <c r="A868" s="7"/>
    </row>
    <row r="869" spans="1:1" ht="15.75" customHeight="1">
      <c r="A869" s="7"/>
    </row>
    <row r="870" spans="1:1" ht="15.75" customHeight="1">
      <c r="A870" s="7"/>
    </row>
    <row r="871" spans="1:1" ht="15.75" customHeight="1">
      <c r="A871" s="7"/>
    </row>
    <row r="872" spans="1:1" ht="15.75" customHeight="1">
      <c r="A872" s="7"/>
    </row>
    <row r="873" spans="1:1" ht="15.75" customHeight="1">
      <c r="A873" s="7"/>
    </row>
    <row r="874" spans="1:1" ht="15.75" customHeight="1">
      <c r="A874" s="7"/>
    </row>
    <row r="875" spans="1:1" ht="15.75" customHeight="1">
      <c r="A875" s="7"/>
    </row>
    <row r="876" spans="1:1" ht="15.75" customHeight="1">
      <c r="A876" s="7"/>
    </row>
    <row r="877" spans="1:1" ht="15.75" customHeight="1">
      <c r="A877" s="7"/>
    </row>
    <row r="878" spans="1:1" ht="15.75" customHeight="1">
      <c r="A878" s="7"/>
    </row>
    <row r="879" spans="1:1" ht="15.75" customHeight="1">
      <c r="A879" s="7"/>
    </row>
    <row r="880" spans="1:1" ht="15.75" customHeight="1">
      <c r="A880" s="7"/>
    </row>
    <row r="881" spans="1:1" ht="15.75" customHeight="1">
      <c r="A881" s="7"/>
    </row>
    <row r="882" spans="1:1" ht="15.75" customHeight="1">
      <c r="A882" s="7"/>
    </row>
    <row r="883" spans="1:1" ht="15.75" customHeight="1">
      <c r="A883" s="7"/>
    </row>
    <row r="884" spans="1:1" ht="15.75" customHeight="1">
      <c r="A884" s="7"/>
    </row>
    <row r="885" spans="1:1" ht="15.75" customHeight="1">
      <c r="A885" s="7"/>
    </row>
    <row r="886" spans="1:1" ht="15.75" customHeight="1">
      <c r="A886" s="7"/>
    </row>
    <row r="887" spans="1:1" ht="15.75" customHeight="1">
      <c r="A887" s="7"/>
    </row>
    <row r="888" spans="1:1" ht="15.75" customHeight="1">
      <c r="A888" s="7"/>
    </row>
    <row r="889" spans="1:1" ht="15.75" customHeight="1">
      <c r="A889" s="7"/>
    </row>
    <row r="890" spans="1:1" ht="15.75" customHeight="1">
      <c r="A890" s="7"/>
    </row>
    <row r="891" spans="1:1" ht="15.75" customHeight="1">
      <c r="A891" s="7"/>
    </row>
    <row r="892" spans="1:1" ht="15.75" customHeight="1">
      <c r="A892" s="7"/>
    </row>
    <row r="893" spans="1:1" ht="15.75" customHeight="1">
      <c r="A893" s="7"/>
    </row>
    <row r="894" spans="1:1" ht="15.75" customHeight="1">
      <c r="A894" s="7"/>
    </row>
    <row r="895" spans="1:1" ht="15.75" customHeight="1">
      <c r="A895" s="7"/>
    </row>
    <row r="896" spans="1:1" ht="15.75" customHeight="1">
      <c r="A896" s="7"/>
    </row>
    <row r="897" spans="1:1" ht="15.75" customHeight="1">
      <c r="A897" s="7"/>
    </row>
    <row r="898" spans="1:1" ht="15.75" customHeight="1">
      <c r="A898" s="7"/>
    </row>
    <row r="899" spans="1:1" ht="15.75" customHeight="1">
      <c r="A899" s="7"/>
    </row>
    <row r="900" spans="1:1" ht="15.75" customHeight="1">
      <c r="A900" s="7"/>
    </row>
    <row r="901" spans="1:1" ht="15.75" customHeight="1">
      <c r="A901" s="7"/>
    </row>
    <row r="902" spans="1:1" ht="15.75" customHeight="1">
      <c r="A902" s="7"/>
    </row>
    <row r="903" spans="1:1" ht="15.75" customHeight="1">
      <c r="A903" s="7"/>
    </row>
    <row r="904" spans="1:1" ht="15.75" customHeight="1">
      <c r="A904" s="7"/>
    </row>
    <row r="905" spans="1:1" ht="15.75" customHeight="1">
      <c r="A905" s="7"/>
    </row>
    <row r="906" spans="1:1" ht="15.75" customHeight="1">
      <c r="A906" s="7"/>
    </row>
    <row r="907" spans="1:1" ht="15.75" customHeight="1">
      <c r="A907" s="7"/>
    </row>
    <row r="908" spans="1:1" ht="15.75" customHeight="1">
      <c r="A908" s="7"/>
    </row>
    <row r="909" spans="1:1" ht="15.75" customHeight="1">
      <c r="A909" s="7"/>
    </row>
    <row r="910" spans="1:1" ht="15.75" customHeight="1">
      <c r="A910" s="7"/>
    </row>
    <row r="911" spans="1:1" ht="15.75" customHeight="1">
      <c r="A911" s="7"/>
    </row>
    <row r="912" spans="1:1" ht="15.75" customHeight="1">
      <c r="A912" s="7"/>
    </row>
    <row r="913" spans="1:1" ht="15.75" customHeight="1">
      <c r="A913" s="7"/>
    </row>
    <row r="914" spans="1:1" ht="15.75" customHeight="1">
      <c r="A914" s="7"/>
    </row>
    <row r="915" spans="1:1" ht="15.75" customHeight="1">
      <c r="A915" s="7"/>
    </row>
    <row r="916" spans="1:1" ht="15.75" customHeight="1">
      <c r="A916" s="7"/>
    </row>
    <row r="917" spans="1:1" ht="15.75" customHeight="1">
      <c r="A917" s="7"/>
    </row>
    <row r="918" spans="1:1" ht="15.75" customHeight="1">
      <c r="A918" s="7"/>
    </row>
    <row r="919" spans="1:1" ht="15.75" customHeight="1">
      <c r="A919" s="7"/>
    </row>
    <row r="920" spans="1:1" ht="15.75" customHeight="1">
      <c r="A920" s="7"/>
    </row>
    <row r="921" spans="1:1" ht="15.75" customHeight="1">
      <c r="A921" s="7"/>
    </row>
    <row r="922" spans="1:1" ht="15.75" customHeight="1">
      <c r="A922" s="7"/>
    </row>
    <row r="923" spans="1:1" ht="15.75" customHeight="1">
      <c r="A923" s="7"/>
    </row>
    <row r="924" spans="1:1" ht="15.75" customHeight="1">
      <c r="A924" s="7"/>
    </row>
    <row r="925" spans="1:1" ht="15.75" customHeight="1">
      <c r="A925" s="7"/>
    </row>
    <row r="926" spans="1:1" ht="15.75" customHeight="1">
      <c r="A926" s="7"/>
    </row>
    <row r="927" spans="1:1" ht="15.75" customHeight="1">
      <c r="A927" s="7"/>
    </row>
    <row r="928" spans="1:1" ht="15.75" customHeight="1">
      <c r="A928" s="7"/>
    </row>
    <row r="929" spans="1:1" ht="15.75" customHeight="1">
      <c r="A929" s="7"/>
    </row>
    <row r="930" spans="1:1" ht="15.75" customHeight="1">
      <c r="A930" s="7"/>
    </row>
    <row r="931" spans="1:1" ht="15.75" customHeight="1">
      <c r="A931" s="7"/>
    </row>
    <row r="932" spans="1:1" ht="15.75" customHeight="1">
      <c r="A932" s="7"/>
    </row>
    <row r="933" spans="1:1" ht="15.75" customHeight="1">
      <c r="A933" s="7"/>
    </row>
    <row r="934" spans="1:1" ht="15.75" customHeight="1">
      <c r="A934" s="7"/>
    </row>
    <row r="935" spans="1:1" ht="15.75" customHeight="1">
      <c r="A935" s="7"/>
    </row>
    <row r="936" spans="1:1" ht="15.75" customHeight="1">
      <c r="A936" s="7"/>
    </row>
    <row r="937" spans="1:1" ht="15.75" customHeight="1">
      <c r="A937" s="7"/>
    </row>
    <row r="938" spans="1:1" ht="15.75" customHeight="1">
      <c r="A938" s="7"/>
    </row>
    <row r="939" spans="1:1" ht="15.75" customHeight="1">
      <c r="A939" s="7"/>
    </row>
    <row r="940" spans="1:1" ht="15.75" customHeight="1">
      <c r="A940" s="7"/>
    </row>
    <row r="941" spans="1:1" ht="15.75" customHeight="1">
      <c r="A941" s="7"/>
    </row>
    <row r="942" spans="1:1" ht="15.75" customHeight="1">
      <c r="A942" s="7"/>
    </row>
    <row r="943" spans="1:1" ht="15.75" customHeight="1">
      <c r="A943" s="7"/>
    </row>
    <row r="944" spans="1:1" ht="15.75" customHeight="1">
      <c r="A944" s="7"/>
    </row>
    <row r="945" spans="1:1" ht="15.75" customHeight="1">
      <c r="A945" s="7"/>
    </row>
    <row r="946" spans="1:1" ht="15.75" customHeight="1">
      <c r="A946" s="7"/>
    </row>
    <row r="947" spans="1:1" ht="15.75" customHeight="1">
      <c r="A947" s="7"/>
    </row>
    <row r="948" spans="1:1" ht="15.75" customHeight="1">
      <c r="A948" s="7"/>
    </row>
    <row r="949" spans="1:1" ht="15.75" customHeight="1">
      <c r="A949" s="7"/>
    </row>
    <row r="950" spans="1:1" ht="15.75" customHeight="1">
      <c r="A950" s="7"/>
    </row>
    <row r="951" spans="1:1" ht="15.75" customHeight="1">
      <c r="A951" s="7"/>
    </row>
    <row r="952" spans="1:1" ht="15.75" customHeight="1">
      <c r="A952" s="7"/>
    </row>
    <row r="953" spans="1:1" ht="15.75" customHeight="1">
      <c r="A953" s="7"/>
    </row>
    <row r="954" spans="1:1" ht="15.75" customHeight="1">
      <c r="A954" s="7"/>
    </row>
    <row r="955" spans="1:1" ht="15.75" customHeight="1">
      <c r="A955" s="7"/>
    </row>
    <row r="956" spans="1:1" ht="15.75" customHeight="1">
      <c r="A956" s="7"/>
    </row>
    <row r="957" spans="1:1" ht="15.75" customHeight="1">
      <c r="A957" s="7"/>
    </row>
    <row r="958" spans="1:1" ht="15.75" customHeight="1">
      <c r="A958" s="7"/>
    </row>
    <row r="959" spans="1:1" ht="15.75" customHeight="1">
      <c r="A959" s="7"/>
    </row>
    <row r="960" spans="1:1" ht="15.75" customHeight="1">
      <c r="A960" s="7"/>
    </row>
    <row r="961" spans="1:1" ht="15.75" customHeight="1">
      <c r="A961" s="7"/>
    </row>
    <row r="962" spans="1:1" ht="15.75" customHeight="1">
      <c r="A962" s="7"/>
    </row>
    <row r="963" spans="1:1" ht="15.75" customHeight="1">
      <c r="A963" s="7"/>
    </row>
    <row r="964" spans="1:1" ht="15.75" customHeight="1">
      <c r="A964" s="7"/>
    </row>
    <row r="965" spans="1:1" ht="15.75" customHeight="1">
      <c r="A965" s="7"/>
    </row>
    <row r="966" spans="1:1" ht="15.75" customHeight="1">
      <c r="A966" s="7"/>
    </row>
    <row r="967" spans="1:1" ht="15.75" customHeight="1">
      <c r="A967" s="7"/>
    </row>
    <row r="968" spans="1:1" ht="15.75" customHeight="1">
      <c r="A968" s="7"/>
    </row>
    <row r="969" spans="1:1" ht="15.75" customHeight="1">
      <c r="A969" s="7"/>
    </row>
    <row r="970" spans="1:1" ht="15.75" customHeight="1">
      <c r="A970" s="7"/>
    </row>
    <row r="971" spans="1:1" ht="15.75" customHeight="1">
      <c r="A971" s="7"/>
    </row>
    <row r="972" spans="1:1" ht="15.75" customHeight="1">
      <c r="A972" s="7"/>
    </row>
    <row r="973" spans="1:1" ht="15.75" customHeight="1">
      <c r="A973" s="7"/>
    </row>
    <row r="974" spans="1:1" ht="15.75" customHeight="1">
      <c r="A974" s="7"/>
    </row>
    <row r="975" spans="1:1" ht="15.75" customHeight="1">
      <c r="A975" s="7"/>
    </row>
    <row r="976" spans="1:1" ht="15.75" customHeight="1">
      <c r="A976" s="7"/>
    </row>
    <row r="977" spans="1:1" ht="15.75" customHeight="1">
      <c r="A977" s="7"/>
    </row>
    <row r="978" spans="1:1" ht="15.75" customHeight="1">
      <c r="A978" s="7"/>
    </row>
    <row r="979" spans="1:1" ht="15.75" customHeight="1">
      <c r="A979" s="7"/>
    </row>
    <row r="980" spans="1:1" ht="15.75" customHeight="1">
      <c r="A980" s="7"/>
    </row>
    <row r="981" spans="1:1" ht="15.75" customHeight="1">
      <c r="A981" s="7"/>
    </row>
    <row r="982" spans="1:1" ht="15.75" customHeight="1">
      <c r="A982" s="7"/>
    </row>
    <row r="983" spans="1:1" ht="15.75" customHeight="1">
      <c r="A983" s="7"/>
    </row>
    <row r="984" spans="1:1" ht="15.75" customHeight="1">
      <c r="A984" s="7"/>
    </row>
    <row r="985" spans="1:1" ht="15.75" customHeight="1">
      <c r="A985" s="7"/>
    </row>
    <row r="986" spans="1:1" ht="15.75" customHeight="1">
      <c r="A986" s="7"/>
    </row>
    <row r="987" spans="1:1" ht="15.75" customHeight="1">
      <c r="A987" s="7"/>
    </row>
    <row r="988" spans="1:1" ht="15.75" customHeight="1">
      <c r="A988" s="7"/>
    </row>
    <row r="989" spans="1:1" ht="15.75" customHeight="1">
      <c r="A989" s="7"/>
    </row>
    <row r="990" spans="1:1" ht="15.75" customHeight="1">
      <c r="A990" s="7"/>
    </row>
    <row r="991" spans="1:1" ht="15.75" customHeight="1">
      <c r="A991" s="7"/>
    </row>
    <row r="992" spans="1:1" ht="15.75" customHeight="1">
      <c r="A992" s="7"/>
    </row>
    <row r="993" spans="1:1" ht="15.75" customHeight="1">
      <c r="A993" s="7"/>
    </row>
    <row r="994" spans="1:1" ht="15.75" customHeight="1">
      <c r="A994" s="7"/>
    </row>
    <row r="995" spans="1:1" ht="15.75" customHeight="1">
      <c r="A995" s="7"/>
    </row>
    <row r="996" spans="1:1" ht="15.75" customHeight="1">
      <c r="A996" s="7"/>
    </row>
    <row r="997" spans="1:1" ht="15.75" customHeight="1">
      <c r="A997" s="7"/>
    </row>
    <row r="998" spans="1:1" ht="15.75" customHeight="1">
      <c r="A998" s="7"/>
    </row>
    <row r="999" spans="1:1" ht="15.75" customHeight="1">
      <c r="A999" s="7"/>
    </row>
    <row r="1000" spans="1:1" ht="15.75" customHeight="1">
      <c r="A1000" s="7"/>
    </row>
  </sheetData>
  <mergeCells count="3">
    <mergeCell ref="D35:E35"/>
    <mergeCell ref="I35:J35"/>
    <mergeCell ref="D36:J36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showGridLines="0" topLeftCell="A4" zoomScale="55" zoomScaleNormal="55" workbookViewId="0">
      <selection activeCell="U37" sqref="U37"/>
    </sheetView>
  </sheetViews>
  <sheetFormatPr baseColWidth="10" defaultColWidth="12.625" defaultRowHeight="15" customHeight="1"/>
  <cols>
    <col min="1" max="1" width="7.625" customWidth="1"/>
    <col min="2" max="2" width="3" customWidth="1"/>
    <col min="3" max="3" width="9.375" customWidth="1"/>
    <col min="4" max="4" width="26.375" customWidth="1"/>
    <col min="5" max="5" width="9" customWidth="1"/>
    <col min="6" max="7" width="8" customWidth="1"/>
    <col min="8" max="8" width="10" customWidth="1"/>
    <col min="9" max="10" width="8" customWidth="1"/>
    <col min="11" max="11" width="7.875" customWidth="1"/>
    <col min="12" max="12" width="10.75" customWidth="1"/>
    <col min="13" max="18" width="9.375" customWidth="1"/>
    <col min="19" max="19" width="24.75" customWidth="1"/>
    <col min="20" max="26" width="9.375" customWidth="1"/>
  </cols>
  <sheetData>
    <row r="1" spans="1:14">
      <c r="A1" s="7"/>
      <c r="J1" s="15"/>
      <c r="K1" s="15"/>
      <c r="L1" s="15"/>
    </row>
    <row r="2" spans="1:14">
      <c r="A2" s="7"/>
      <c r="J2" s="15"/>
      <c r="K2" s="15"/>
      <c r="L2" s="15"/>
    </row>
    <row r="3" spans="1:14">
      <c r="A3" s="7"/>
      <c r="J3" s="15"/>
      <c r="K3" s="15"/>
      <c r="L3" s="15"/>
    </row>
    <row r="4" spans="1:14">
      <c r="A4" s="7"/>
      <c r="J4" s="15"/>
      <c r="K4" s="15"/>
      <c r="L4" s="15"/>
    </row>
    <row r="5" spans="1:14">
      <c r="A5" s="7"/>
      <c r="J5" s="15"/>
      <c r="K5" s="15"/>
      <c r="L5" s="15"/>
    </row>
    <row r="6" spans="1:14">
      <c r="A6" s="7"/>
      <c r="J6" s="15"/>
      <c r="K6" s="15"/>
      <c r="L6" s="15"/>
    </row>
    <row r="7" spans="1:14">
      <c r="A7" s="7"/>
      <c r="J7" s="15"/>
      <c r="K7" s="15"/>
      <c r="L7" s="15"/>
    </row>
    <row r="8" spans="1:14">
      <c r="A8" s="7"/>
      <c r="J8" s="15"/>
      <c r="K8" s="26"/>
      <c r="L8" s="15"/>
    </row>
    <row r="9" spans="1:14" ht="36.75">
      <c r="A9" s="7"/>
      <c r="C9" s="2" t="s">
        <v>0</v>
      </c>
      <c r="D9" s="3"/>
      <c r="E9" s="3"/>
      <c r="F9" s="3"/>
      <c r="G9" s="3"/>
      <c r="H9" s="3"/>
      <c r="I9" s="3"/>
      <c r="J9" s="27"/>
      <c r="K9" s="28"/>
      <c r="L9" s="28"/>
      <c r="M9" s="2"/>
      <c r="N9" s="2"/>
    </row>
    <row r="10" spans="1:14">
      <c r="A10" s="7"/>
      <c r="C10" s="9"/>
      <c r="J10" s="15"/>
      <c r="K10" s="15"/>
      <c r="L10" s="15"/>
    </row>
    <row r="11" spans="1:14" ht="20.25">
      <c r="A11" s="7"/>
      <c r="G11" s="4" t="s">
        <v>77</v>
      </c>
      <c r="J11" s="15"/>
      <c r="K11" s="15"/>
      <c r="L11" s="15"/>
    </row>
    <row r="12" spans="1:14">
      <c r="A12" s="7"/>
      <c r="J12" s="15"/>
      <c r="K12" s="15"/>
      <c r="L12" s="15"/>
    </row>
    <row r="13" spans="1:14" ht="15.75">
      <c r="A13" s="7"/>
      <c r="C13" s="5" t="s">
        <v>2</v>
      </c>
      <c r="D13" s="10" t="s">
        <v>78</v>
      </c>
      <c r="J13" s="15"/>
      <c r="K13" s="15"/>
      <c r="L13" s="15"/>
    </row>
    <row r="14" spans="1:14">
      <c r="A14" s="7"/>
      <c r="J14" s="15"/>
      <c r="K14" s="15"/>
      <c r="L14" s="15"/>
    </row>
    <row r="15" spans="1:14" ht="17.25">
      <c r="A15" s="7"/>
      <c r="C15" s="5" t="s">
        <v>4</v>
      </c>
      <c r="D15" s="12"/>
      <c r="J15" s="15"/>
      <c r="K15" s="15"/>
      <c r="L15" s="15"/>
    </row>
    <row r="16" spans="1:14">
      <c r="A16" s="7"/>
      <c r="J16" s="15"/>
      <c r="K16" s="15"/>
      <c r="L16" s="15"/>
    </row>
    <row r="17" spans="1:20" ht="15.75">
      <c r="A17" s="7"/>
      <c r="C17" s="5" t="s">
        <v>5</v>
      </c>
      <c r="J17" s="15"/>
      <c r="K17" s="15"/>
      <c r="L17" s="15"/>
    </row>
    <row r="18" spans="1:20" ht="15.75">
      <c r="A18" s="7"/>
      <c r="D18" s="11" t="s">
        <v>79</v>
      </c>
      <c r="J18" s="15"/>
      <c r="K18" s="15"/>
      <c r="L18" s="15"/>
    </row>
    <row r="19" spans="1:20" ht="15.75">
      <c r="A19" s="7"/>
      <c r="D19" s="11" t="s">
        <v>80</v>
      </c>
      <c r="J19" s="15"/>
      <c r="K19" s="15"/>
      <c r="L19" s="15"/>
    </row>
    <row r="20" spans="1:20" ht="30" customHeight="1">
      <c r="A20" s="7"/>
      <c r="D20" s="29" t="s">
        <v>81</v>
      </c>
      <c r="E20" s="29" t="s">
        <v>82</v>
      </c>
      <c r="F20" s="29" t="s">
        <v>83</v>
      </c>
      <c r="G20" s="29" t="s">
        <v>84</v>
      </c>
      <c r="H20" s="29" t="s">
        <v>85</v>
      </c>
      <c r="I20" s="29" t="s">
        <v>86</v>
      </c>
      <c r="J20" s="29" t="s">
        <v>87</v>
      </c>
      <c r="K20" s="30" t="s">
        <v>88</v>
      </c>
      <c r="L20" s="30" t="s">
        <v>89</v>
      </c>
      <c r="T20" s="9"/>
    </row>
    <row r="21" spans="1:20" ht="15.75" customHeight="1">
      <c r="A21" s="7"/>
      <c r="D21" s="1" t="s">
        <v>90</v>
      </c>
      <c r="E21" s="21" t="s">
        <v>91</v>
      </c>
      <c r="F21" s="21" t="s">
        <v>92</v>
      </c>
      <c r="G21" s="21" t="s">
        <v>92</v>
      </c>
      <c r="H21" s="21" t="s">
        <v>93</v>
      </c>
      <c r="I21" s="21">
        <v>1300</v>
      </c>
      <c r="J21" s="21">
        <v>0</v>
      </c>
      <c r="K21" s="21">
        <v>0</v>
      </c>
      <c r="L21" s="21">
        <v>450</v>
      </c>
      <c r="N21" s="72" t="s">
        <v>94</v>
      </c>
      <c r="O21" s="67"/>
      <c r="P21" s="67"/>
      <c r="Q21" s="67"/>
      <c r="R21" s="67"/>
      <c r="S21" s="68"/>
      <c r="T21" s="31"/>
    </row>
    <row r="22" spans="1:20" ht="15.75" customHeight="1">
      <c r="A22" s="7"/>
      <c r="D22" s="1" t="s">
        <v>95</v>
      </c>
      <c r="E22" s="21" t="s">
        <v>96</v>
      </c>
      <c r="F22" s="21" t="s">
        <v>92</v>
      </c>
      <c r="G22" s="21" t="s">
        <v>97</v>
      </c>
      <c r="H22" s="21" t="s">
        <v>98</v>
      </c>
      <c r="I22" s="21">
        <v>1500</v>
      </c>
      <c r="J22" s="21">
        <v>1</v>
      </c>
      <c r="K22" s="21">
        <v>1</v>
      </c>
      <c r="L22" s="21">
        <v>480</v>
      </c>
      <c r="N22" s="69" t="s">
        <v>99</v>
      </c>
      <c r="O22" s="70"/>
      <c r="P22" s="70"/>
      <c r="Q22" s="71"/>
      <c r="R22" s="73">
        <f>SUMIFS(J20:J52,E20:E52,"B",H20:H52,"S")</f>
        <v>6</v>
      </c>
      <c r="S22" s="74"/>
      <c r="T22" s="31"/>
    </row>
    <row r="23" spans="1:20" ht="15.75" customHeight="1">
      <c r="A23" s="7"/>
      <c r="D23" s="1" t="s">
        <v>100</v>
      </c>
      <c r="E23" s="21" t="s">
        <v>91</v>
      </c>
      <c r="F23" s="21" t="s">
        <v>92</v>
      </c>
      <c r="G23" s="21" t="s">
        <v>97</v>
      </c>
      <c r="H23" s="21" t="s">
        <v>93</v>
      </c>
      <c r="I23" s="21">
        <v>2000</v>
      </c>
      <c r="J23" s="21">
        <v>1</v>
      </c>
      <c r="K23" s="21">
        <v>0</v>
      </c>
      <c r="L23" s="21">
        <v>250</v>
      </c>
      <c r="N23" s="69" t="s">
        <v>101</v>
      </c>
      <c r="O23" s="70"/>
      <c r="P23" s="70"/>
      <c r="Q23" s="71"/>
      <c r="R23" s="75"/>
      <c r="S23" s="76"/>
      <c r="T23" s="31"/>
    </row>
    <row r="24" spans="1:20" ht="18" customHeight="1">
      <c r="A24" s="7"/>
      <c r="D24" s="1" t="s">
        <v>102</v>
      </c>
      <c r="E24" s="21" t="s">
        <v>96</v>
      </c>
      <c r="F24" s="21" t="s">
        <v>103</v>
      </c>
      <c r="G24" s="21" t="s">
        <v>97</v>
      </c>
      <c r="H24" s="21" t="s">
        <v>98</v>
      </c>
      <c r="I24" s="21">
        <v>1500</v>
      </c>
      <c r="J24" s="21">
        <v>2</v>
      </c>
      <c r="K24" s="21">
        <v>3</v>
      </c>
      <c r="L24" s="21">
        <v>480</v>
      </c>
      <c r="N24" s="1"/>
      <c r="O24" s="1"/>
      <c r="P24" s="1"/>
      <c r="Q24" s="1"/>
      <c r="R24" s="1"/>
      <c r="S24" s="1"/>
      <c r="T24" s="31"/>
    </row>
    <row r="25" spans="1:20" ht="16.5" customHeight="1">
      <c r="A25" s="7"/>
      <c r="D25" s="1" t="s">
        <v>104</v>
      </c>
      <c r="E25" s="21" t="s">
        <v>91</v>
      </c>
      <c r="F25" s="21" t="s">
        <v>92</v>
      </c>
      <c r="G25" s="21" t="s">
        <v>97</v>
      </c>
      <c r="H25" s="21" t="s">
        <v>93</v>
      </c>
      <c r="I25" s="21">
        <v>2100</v>
      </c>
      <c r="J25" s="21">
        <v>1</v>
      </c>
      <c r="K25" s="21">
        <v>2</v>
      </c>
      <c r="L25" s="21">
        <v>420</v>
      </c>
      <c r="N25" s="72" t="s">
        <v>105</v>
      </c>
      <c r="O25" s="67"/>
      <c r="P25" s="67"/>
      <c r="Q25" s="67"/>
      <c r="R25" s="67"/>
      <c r="S25" s="68"/>
      <c r="T25" s="31"/>
    </row>
    <row r="26" spans="1:20" ht="15.75" customHeight="1">
      <c r="A26" s="7"/>
      <c r="D26" s="1" t="s">
        <v>106</v>
      </c>
      <c r="E26" s="21" t="s">
        <v>98</v>
      </c>
      <c r="F26" s="21" t="s">
        <v>103</v>
      </c>
      <c r="G26" s="21" t="s">
        <v>97</v>
      </c>
      <c r="H26" s="21" t="s">
        <v>98</v>
      </c>
      <c r="I26" s="21">
        <v>1200</v>
      </c>
      <c r="J26" s="21">
        <v>2</v>
      </c>
      <c r="K26" s="21">
        <v>3</v>
      </c>
      <c r="L26" s="21">
        <v>480</v>
      </c>
      <c r="N26" s="69" t="s">
        <v>107</v>
      </c>
      <c r="O26" s="70"/>
      <c r="P26" s="70"/>
      <c r="Q26" s="71"/>
      <c r="R26" s="73">
        <f>SUMIFS(I20:I52, E20:E52,"A", F20:F52,"M", J20:J52,0)</f>
        <v>1300</v>
      </c>
      <c r="S26" s="74"/>
      <c r="T26" s="31"/>
    </row>
    <row r="27" spans="1:20" ht="15.75" customHeight="1">
      <c r="A27" s="7"/>
      <c r="D27" s="1" t="s">
        <v>108</v>
      </c>
      <c r="E27" s="21" t="s">
        <v>96</v>
      </c>
      <c r="F27" s="21" t="s">
        <v>92</v>
      </c>
      <c r="G27" s="21" t="s">
        <v>97</v>
      </c>
      <c r="H27" s="21" t="s">
        <v>93</v>
      </c>
      <c r="I27" s="21">
        <v>1500</v>
      </c>
      <c r="J27" s="21">
        <v>0</v>
      </c>
      <c r="K27" s="21">
        <v>2</v>
      </c>
      <c r="L27" s="21">
        <v>410</v>
      </c>
      <c r="N27" s="69" t="s">
        <v>109</v>
      </c>
      <c r="O27" s="70"/>
      <c r="P27" s="70"/>
      <c r="Q27" s="71"/>
      <c r="R27" s="77"/>
      <c r="S27" s="74"/>
      <c r="T27" s="31"/>
    </row>
    <row r="28" spans="1:20" ht="15.75" customHeight="1">
      <c r="A28" s="7"/>
      <c r="D28" s="1" t="s">
        <v>110</v>
      </c>
      <c r="E28" s="21" t="s">
        <v>91</v>
      </c>
      <c r="F28" s="21" t="s">
        <v>111</v>
      </c>
      <c r="G28" s="21" t="s">
        <v>92</v>
      </c>
      <c r="H28" s="21" t="s">
        <v>98</v>
      </c>
      <c r="I28" s="21">
        <v>1200</v>
      </c>
      <c r="J28" s="21">
        <v>1</v>
      </c>
      <c r="K28" s="21">
        <v>4</v>
      </c>
      <c r="L28" s="21">
        <v>450</v>
      </c>
      <c r="N28" s="69" t="s">
        <v>112</v>
      </c>
      <c r="O28" s="70"/>
      <c r="P28" s="70"/>
      <c r="Q28" s="71"/>
      <c r="R28" s="75"/>
      <c r="S28" s="76"/>
      <c r="T28" s="31"/>
    </row>
    <row r="29" spans="1:20" ht="15.75" customHeight="1">
      <c r="A29" s="7"/>
      <c r="D29" s="1" t="s">
        <v>113</v>
      </c>
      <c r="E29" s="21" t="s">
        <v>96</v>
      </c>
      <c r="F29" s="21" t="s">
        <v>103</v>
      </c>
      <c r="G29" s="21" t="s">
        <v>92</v>
      </c>
      <c r="H29" s="21" t="s">
        <v>93</v>
      </c>
      <c r="I29" s="21">
        <v>1500</v>
      </c>
      <c r="J29" s="21">
        <v>1</v>
      </c>
      <c r="K29" s="21">
        <v>8</v>
      </c>
      <c r="L29" s="21">
        <v>320</v>
      </c>
      <c r="N29" s="1"/>
      <c r="O29" s="1"/>
      <c r="P29" s="1"/>
      <c r="Q29" s="1"/>
      <c r="R29" s="1"/>
      <c r="S29" s="1"/>
    </row>
    <row r="30" spans="1:20" ht="16.5" customHeight="1">
      <c r="A30" s="7"/>
      <c r="D30" s="1" t="s">
        <v>114</v>
      </c>
      <c r="E30" s="21" t="s">
        <v>98</v>
      </c>
      <c r="F30" s="21" t="s">
        <v>111</v>
      </c>
      <c r="G30" s="21" t="s">
        <v>92</v>
      </c>
      <c r="H30" s="21" t="s">
        <v>98</v>
      </c>
      <c r="I30" s="21">
        <v>2500</v>
      </c>
      <c r="J30" s="21">
        <v>0</v>
      </c>
      <c r="K30" s="21">
        <v>1</v>
      </c>
      <c r="L30" s="21">
        <v>150</v>
      </c>
      <c r="N30" s="72" t="s">
        <v>115</v>
      </c>
      <c r="O30" s="67"/>
      <c r="P30" s="67"/>
      <c r="Q30" s="67"/>
      <c r="R30" s="67"/>
      <c r="S30" s="68"/>
    </row>
    <row r="31" spans="1:20" ht="15.75" customHeight="1">
      <c r="A31" s="7"/>
      <c r="D31" s="1" t="s">
        <v>116</v>
      </c>
      <c r="E31" s="21" t="s">
        <v>91</v>
      </c>
      <c r="F31" s="21" t="s">
        <v>92</v>
      </c>
      <c r="G31" s="21" t="s">
        <v>97</v>
      </c>
      <c r="H31" s="21" t="s">
        <v>93</v>
      </c>
      <c r="I31" s="21">
        <v>3000</v>
      </c>
      <c r="J31" s="21">
        <v>1</v>
      </c>
      <c r="K31" s="21">
        <v>0</v>
      </c>
      <c r="L31" s="21">
        <v>250</v>
      </c>
      <c r="N31" s="69" t="s">
        <v>117</v>
      </c>
      <c r="O31" s="70"/>
      <c r="P31" s="70"/>
      <c r="Q31" s="71"/>
      <c r="R31" s="73">
        <f>SUMIFS(K20:K52,L20:L52,"&gt;=300", E20:E52,"C", H20:H52,"C")</f>
        <v>4</v>
      </c>
      <c r="S31" s="74"/>
    </row>
    <row r="32" spans="1:20" ht="15.75" customHeight="1">
      <c r="A32" s="7"/>
      <c r="D32" s="1" t="s">
        <v>118</v>
      </c>
      <c r="E32" s="21" t="s">
        <v>91</v>
      </c>
      <c r="F32" s="21" t="s">
        <v>103</v>
      </c>
      <c r="G32" s="21" t="s">
        <v>97</v>
      </c>
      <c r="H32" s="21" t="s">
        <v>93</v>
      </c>
      <c r="I32" s="21">
        <v>1500</v>
      </c>
      <c r="J32" s="21">
        <v>0</v>
      </c>
      <c r="K32" s="21">
        <v>0</v>
      </c>
      <c r="L32" s="21">
        <v>320</v>
      </c>
      <c r="N32" s="69" t="s">
        <v>119</v>
      </c>
      <c r="O32" s="70"/>
      <c r="P32" s="70"/>
      <c r="Q32" s="71"/>
      <c r="R32" s="77"/>
      <c r="S32" s="74"/>
    </row>
    <row r="33" spans="1:19" ht="15.75" customHeight="1">
      <c r="A33" s="7"/>
      <c r="D33" s="1" t="s">
        <v>120</v>
      </c>
      <c r="E33" s="21" t="s">
        <v>96</v>
      </c>
      <c r="F33" s="21" t="s">
        <v>92</v>
      </c>
      <c r="G33" s="21" t="s">
        <v>92</v>
      </c>
      <c r="H33" s="21" t="s">
        <v>93</v>
      </c>
      <c r="I33" s="21">
        <v>1500</v>
      </c>
      <c r="J33" s="21">
        <v>0</v>
      </c>
      <c r="K33" s="21">
        <v>2</v>
      </c>
      <c r="L33" s="21">
        <v>420</v>
      </c>
      <c r="N33" s="69" t="s">
        <v>121</v>
      </c>
      <c r="O33" s="70"/>
      <c r="P33" s="70"/>
      <c r="Q33" s="71"/>
      <c r="R33" s="75"/>
      <c r="S33" s="76"/>
    </row>
    <row r="34" spans="1:19" ht="15.75" customHeight="1">
      <c r="A34" s="7"/>
      <c r="D34" s="1" t="s">
        <v>122</v>
      </c>
      <c r="E34" s="21" t="s">
        <v>98</v>
      </c>
      <c r="F34" s="21" t="s">
        <v>103</v>
      </c>
      <c r="G34" s="21" t="s">
        <v>97</v>
      </c>
      <c r="H34" s="21" t="s">
        <v>98</v>
      </c>
      <c r="I34" s="21">
        <v>2000</v>
      </c>
      <c r="J34" s="21">
        <v>0</v>
      </c>
      <c r="K34" s="21">
        <v>0</v>
      </c>
      <c r="L34" s="21">
        <v>180</v>
      </c>
      <c r="N34" s="1"/>
      <c r="O34" s="1"/>
      <c r="P34" s="1"/>
      <c r="Q34" s="1"/>
      <c r="R34" s="1"/>
      <c r="S34" s="1"/>
    </row>
    <row r="35" spans="1:19" ht="16.5" customHeight="1">
      <c r="A35" s="7"/>
      <c r="D35" s="1" t="s">
        <v>123</v>
      </c>
      <c r="E35" s="21" t="s">
        <v>98</v>
      </c>
      <c r="F35" s="21" t="s">
        <v>92</v>
      </c>
      <c r="G35" s="21" t="s">
        <v>97</v>
      </c>
      <c r="H35" s="21" t="s">
        <v>98</v>
      </c>
      <c r="I35" s="21">
        <v>1800</v>
      </c>
      <c r="J35" s="21">
        <v>0</v>
      </c>
      <c r="K35" s="21">
        <v>1</v>
      </c>
      <c r="L35" s="21">
        <v>430</v>
      </c>
      <c r="N35" s="72" t="s">
        <v>124</v>
      </c>
      <c r="O35" s="67"/>
      <c r="P35" s="67"/>
      <c r="Q35" s="67"/>
      <c r="R35" s="67"/>
      <c r="S35" s="68"/>
    </row>
    <row r="36" spans="1:19" ht="15.75" customHeight="1">
      <c r="A36" s="7"/>
      <c r="D36" s="1" t="s">
        <v>125</v>
      </c>
      <c r="E36" s="21" t="s">
        <v>98</v>
      </c>
      <c r="F36" s="21" t="s">
        <v>92</v>
      </c>
      <c r="G36" s="21" t="s">
        <v>92</v>
      </c>
      <c r="H36" s="21" t="s">
        <v>93</v>
      </c>
      <c r="I36" s="21">
        <v>1800</v>
      </c>
      <c r="J36" s="21">
        <v>0</v>
      </c>
      <c r="K36" s="21">
        <v>0</v>
      </c>
      <c r="L36" s="21">
        <v>180</v>
      </c>
      <c r="N36" s="69" t="s">
        <v>117</v>
      </c>
      <c r="O36" s="70"/>
      <c r="P36" s="70"/>
      <c r="Q36" s="71"/>
      <c r="R36" s="73">
        <f>SUMIFS(L20:L52,L20:L52,"&gt;=300", E20:E52,"C", H20:H52,"C")</f>
        <v>1320</v>
      </c>
      <c r="S36" s="74"/>
    </row>
    <row r="37" spans="1:19" ht="15.75" customHeight="1">
      <c r="A37" s="7"/>
      <c r="D37" s="1" t="s">
        <v>126</v>
      </c>
      <c r="E37" s="21" t="s">
        <v>98</v>
      </c>
      <c r="F37" s="21" t="s">
        <v>103</v>
      </c>
      <c r="G37" s="21" t="s">
        <v>97</v>
      </c>
      <c r="H37" s="21" t="s">
        <v>98</v>
      </c>
      <c r="I37" s="21">
        <v>1500</v>
      </c>
      <c r="J37" s="21">
        <v>2</v>
      </c>
      <c r="K37" s="21">
        <v>5</v>
      </c>
      <c r="L37" s="21">
        <v>250</v>
      </c>
      <c r="N37" s="69" t="s">
        <v>119</v>
      </c>
      <c r="O37" s="70"/>
      <c r="P37" s="70"/>
      <c r="Q37" s="71"/>
      <c r="R37" s="77"/>
      <c r="S37" s="74"/>
    </row>
    <row r="38" spans="1:19" ht="15.75" customHeight="1">
      <c r="A38" s="7"/>
      <c r="D38" s="1" t="s">
        <v>127</v>
      </c>
      <c r="E38" s="21" t="s">
        <v>91</v>
      </c>
      <c r="F38" s="21" t="s">
        <v>103</v>
      </c>
      <c r="G38" s="21" t="s">
        <v>97</v>
      </c>
      <c r="H38" s="21" t="s">
        <v>93</v>
      </c>
      <c r="I38" s="21">
        <v>2000</v>
      </c>
      <c r="J38" s="21">
        <v>1</v>
      </c>
      <c r="K38" s="21">
        <v>10</v>
      </c>
      <c r="L38" s="21">
        <v>350</v>
      </c>
      <c r="N38" s="69" t="s">
        <v>121</v>
      </c>
      <c r="O38" s="70"/>
      <c r="P38" s="70"/>
      <c r="Q38" s="71"/>
      <c r="R38" s="75"/>
      <c r="S38" s="76"/>
    </row>
    <row r="39" spans="1:19" ht="15.75" customHeight="1">
      <c r="A39" s="7"/>
      <c r="D39" s="1" t="s">
        <v>128</v>
      </c>
      <c r="E39" s="21" t="s">
        <v>96</v>
      </c>
      <c r="F39" s="21" t="s">
        <v>111</v>
      </c>
      <c r="G39" s="21" t="s">
        <v>92</v>
      </c>
      <c r="H39" s="21" t="s">
        <v>98</v>
      </c>
      <c r="I39" s="21">
        <v>2000</v>
      </c>
      <c r="J39" s="21">
        <v>2</v>
      </c>
      <c r="K39" s="21">
        <v>0</v>
      </c>
      <c r="L39" s="21">
        <v>420</v>
      </c>
    </row>
    <row r="40" spans="1:19" ht="15.75" customHeight="1">
      <c r="A40" s="7"/>
      <c r="D40" s="1" t="s">
        <v>129</v>
      </c>
      <c r="E40" s="21" t="s">
        <v>91</v>
      </c>
      <c r="F40" s="21" t="s">
        <v>92</v>
      </c>
      <c r="G40" s="21" t="s">
        <v>92</v>
      </c>
      <c r="H40" s="21" t="s">
        <v>98</v>
      </c>
      <c r="I40" s="21">
        <v>1500</v>
      </c>
      <c r="J40" s="21">
        <v>5</v>
      </c>
      <c r="K40" s="21">
        <v>2</v>
      </c>
      <c r="L40" s="21">
        <v>510</v>
      </c>
    </row>
    <row r="41" spans="1:19" ht="15.75" customHeight="1">
      <c r="A41" s="7"/>
      <c r="D41" s="1" t="s">
        <v>130</v>
      </c>
      <c r="E41" s="21" t="s">
        <v>96</v>
      </c>
      <c r="F41" s="21" t="s">
        <v>111</v>
      </c>
      <c r="G41" s="21" t="s">
        <v>97</v>
      </c>
      <c r="H41" s="21" t="s">
        <v>93</v>
      </c>
      <c r="I41" s="21">
        <v>1500</v>
      </c>
      <c r="J41" s="21">
        <v>3</v>
      </c>
      <c r="K41" s="21">
        <v>1</v>
      </c>
      <c r="L41" s="21">
        <v>430</v>
      </c>
    </row>
    <row r="42" spans="1:19" ht="15.75" customHeight="1">
      <c r="A42" s="7"/>
      <c r="D42" s="1" t="s">
        <v>131</v>
      </c>
      <c r="E42" s="21" t="s">
        <v>96</v>
      </c>
      <c r="F42" s="21" t="s">
        <v>103</v>
      </c>
      <c r="G42" s="21" t="s">
        <v>97</v>
      </c>
      <c r="H42" s="21" t="s">
        <v>93</v>
      </c>
      <c r="I42" s="21">
        <v>2100</v>
      </c>
      <c r="J42" s="21">
        <v>2</v>
      </c>
      <c r="K42" s="21">
        <v>3</v>
      </c>
      <c r="L42" s="21">
        <v>510</v>
      </c>
    </row>
    <row r="43" spans="1:19" ht="15.75" customHeight="1">
      <c r="A43" s="7"/>
      <c r="D43" s="1" t="s">
        <v>132</v>
      </c>
      <c r="E43" s="21" t="s">
        <v>91</v>
      </c>
      <c r="F43" s="21" t="s">
        <v>111</v>
      </c>
      <c r="G43" s="21" t="s">
        <v>92</v>
      </c>
      <c r="H43" s="21" t="s">
        <v>98</v>
      </c>
      <c r="I43" s="21">
        <v>1400</v>
      </c>
      <c r="J43" s="21">
        <v>0</v>
      </c>
      <c r="K43" s="21">
        <v>0</v>
      </c>
      <c r="L43" s="21">
        <v>400</v>
      </c>
    </row>
    <row r="44" spans="1:19" ht="15.75" customHeight="1">
      <c r="A44" s="7"/>
      <c r="D44" s="1" t="s">
        <v>133</v>
      </c>
      <c r="E44" s="21" t="s">
        <v>91</v>
      </c>
      <c r="F44" s="21" t="s">
        <v>92</v>
      </c>
      <c r="G44" s="21" t="s">
        <v>97</v>
      </c>
      <c r="H44" s="21" t="s">
        <v>93</v>
      </c>
      <c r="I44" s="21">
        <v>1300</v>
      </c>
      <c r="J44" s="21">
        <v>1</v>
      </c>
      <c r="K44" s="21">
        <v>0</v>
      </c>
      <c r="L44" s="21">
        <v>320</v>
      </c>
    </row>
    <row r="45" spans="1:19" ht="15.75" customHeight="1">
      <c r="A45" s="7"/>
      <c r="D45" s="1" t="s">
        <v>134</v>
      </c>
      <c r="E45" s="21" t="s">
        <v>96</v>
      </c>
      <c r="F45" s="21" t="s">
        <v>111</v>
      </c>
      <c r="G45" s="21" t="s">
        <v>92</v>
      </c>
      <c r="H45" s="21" t="s">
        <v>98</v>
      </c>
      <c r="I45" s="21">
        <v>2500</v>
      </c>
      <c r="J45" s="21">
        <v>0</v>
      </c>
      <c r="K45" s="21">
        <v>1</v>
      </c>
      <c r="L45" s="21">
        <v>180</v>
      </c>
    </row>
    <row r="46" spans="1:19" ht="15.75" customHeight="1">
      <c r="A46" s="7"/>
      <c r="D46" s="1" t="s">
        <v>135</v>
      </c>
      <c r="E46" s="21" t="s">
        <v>96</v>
      </c>
      <c r="F46" s="21" t="s">
        <v>103</v>
      </c>
      <c r="G46" s="21" t="s">
        <v>97</v>
      </c>
      <c r="H46" s="21" t="s">
        <v>98</v>
      </c>
      <c r="I46" s="21">
        <v>3000</v>
      </c>
      <c r="J46" s="21">
        <v>2</v>
      </c>
      <c r="K46" s="21">
        <v>0</v>
      </c>
      <c r="L46" s="21">
        <v>310</v>
      </c>
    </row>
    <row r="47" spans="1:19" ht="15.75" customHeight="1">
      <c r="A47" s="7"/>
      <c r="D47" s="1" t="s">
        <v>136</v>
      </c>
      <c r="E47" s="21" t="s">
        <v>91</v>
      </c>
      <c r="F47" s="21" t="s">
        <v>103</v>
      </c>
      <c r="G47" s="21" t="s">
        <v>97</v>
      </c>
      <c r="H47" s="21" t="s">
        <v>93</v>
      </c>
      <c r="I47" s="21">
        <v>3000</v>
      </c>
      <c r="J47" s="21">
        <v>5</v>
      </c>
      <c r="K47" s="21">
        <v>3</v>
      </c>
      <c r="L47" s="21">
        <v>480</v>
      </c>
    </row>
    <row r="48" spans="1:19" ht="15.75" customHeight="1">
      <c r="A48" s="7"/>
      <c r="D48" s="1" t="s">
        <v>137</v>
      </c>
      <c r="E48" s="21" t="s">
        <v>91</v>
      </c>
      <c r="F48" s="21" t="s">
        <v>92</v>
      </c>
      <c r="G48" s="21" t="s">
        <v>92</v>
      </c>
      <c r="H48" s="21" t="s">
        <v>93</v>
      </c>
      <c r="I48" s="21">
        <v>1500</v>
      </c>
      <c r="J48" s="21">
        <v>1</v>
      </c>
      <c r="K48" s="21">
        <v>5</v>
      </c>
      <c r="L48" s="21">
        <v>150</v>
      </c>
    </row>
    <row r="49" spans="1:12" ht="15.75" customHeight="1">
      <c r="A49" s="7"/>
      <c r="D49" s="1" t="s">
        <v>138</v>
      </c>
      <c r="E49" s="21" t="s">
        <v>91</v>
      </c>
      <c r="F49" s="21" t="s">
        <v>103</v>
      </c>
      <c r="G49" s="21" t="s">
        <v>97</v>
      </c>
      <c r="H49" s="21" t="s">
        <v>98</v>
      </c>
      <c r="I49" s="21">
        <v>1200</v>
      </c>
      <c r="J49" s="21">
        <v>0</v>
      </c>
      <c r="K49" s="21">
        <v>8</v>
      </c>
      <c r="L49" s="21">
        <v>180</v>
      </c>
    </row>
    <row r="50" spans="1:12" ht="15.75" customHeight="1">
      <c r="A50" s="7"/>
      <c r="D50" s="1" t="s">
        <v>139</v>
      </c>
      <c r="E50" s="21" t="s">
        <v>91</v>
      </c>
      <c r="F50" s="21" t="s">
        <v>111</v>
      </c>
      <c r="G50" s="21" t="s">
        <v>92</v>
      </c>
      <c r="H50" s="21" t="s">
        <v>93</v>
      </c>
      <c r="I50" s="21">
        <v>1500</v>
      </c>
      <c r="J50" s="21">
        <v>3</v>
      </c>
      <c r="K50" s="21">
        <v>2</v>
      </c>
      <c r="L50" s="21">
        <v>350</v>
      </c>
    </row>
    <row r="51" spans="1:12" ht="15.75" customHeight="1">
      <c r="A51" s="7"/>
      <c r="D51" s="1" t="s">
        <v>140</v>
      </c>
      <c r="E51" s="21" t="s">
        <v>98</v>
      </c>
      <c r="F51" s="21" t="s">
        <v>111</v>
      </c>
      <c r="G51" s="21" t="s">
        <v>97</v>
      </c>
      <c r="H51" s="21" t="s">
        <v>98</v>
      </c>
      <c r="I51" s="21">
        <v>2100</v>
      </c>
      <c r="J51" s="21">
        <v>5</v>
      </c>
      <c r="K51" s="21">
        <v>0</v>
      </c>
      <c r="L51" s="21">
        <v>410</v>
      </c>
    </row>
    <row r="52" spans="1:12" ht="15.75" customHeight="1">
      <c r="A52" s="7"/>
      <c r="D52" s="1" t="s">
        <v>95</v>
      </c>
      <c r="E52" s="21" t="s">
        <v>98</v>
      </c>
      <c r="F52" s="21" t="s">
        <v>103</v>
      </c>
      <c r="G52" s="21" t="s">
        <v>92</v>
      </c>
      <c r="H52" s="21" t="s">
        <v>93</v>
      </c>
      <c r="I52" s="21">
        <v>3100</v>
      </c>
      <c r="J52" s="21">
        <v>2</v>
      </c>
      <c r="K52" s="21">
        <v>5</v>
      </c>
      <c r="L52" s="21">
        <v>254</v>
      </c>
    </row>
    <row r="53" spans="1:12" ht="15.75" customHeight="1">
      <c r="A53" s="7"/>
      <c r="D53" s="15"/>
      <c r="E53" s="15"/>
      <c r="I53" s="15"/>
      <c r="J53" s="15"/>
      <c r="K53" s="15"/>
      <c r="L53" s="15"/>
    </row>
    <row r="54" spans="1:12" ht="15.75" customHeight="1">
      <c r="A54" s="7"/>
      <c r="J54" s="15"/>
      <c r="K54" s="15"/>
      <c r="L54" s="15"/>
    </row>
    <row r="55" spans="1:12" ht="15.75" customHeight="1">
      <c r="A55" s="7"/>
      <c r="J55" s="15"/>
      <c r="K55" s="15"/>
      <c r="L55" s="15"/>
    </row>
    <row r="56" spans="1:12" ht="15.75" customHeight="1">
      <c r="A56" s="7"/>
      <c r="J56" s="15"/>
      <c r="K56" s="15"/>
      <c r="L56" s="15"/>
    </row>
    <row r="57" spans="1:12" ht="15.75" customHeight="1">
      <c r="A57" s="7"/>
      <c r="J57" s="15"/>
      <c r="K57" s="15"/>
      <c r="L57" s="15"/>
    </row>
    <row r="58" spans="1:12" ht="15.75" customHeight="1">
      <c r="A58" s="7"/>
      <c r="J58" s="15"/>
      <c r="K58" s="15"/>
      <c r="L58" s="15"/>
    </row>
    <row r="59" spans="1:12" ht="15.75" customHeight="1">
      <c r="A59" s="7"/>
      <c r="D59" s="22"/>
      <c r="J59" s="15"/>
      <c r="K59" s="15"/>
      <c r="L59" s="15"/>
    </row>
    <row r="60" spans="1:12" ht="15.75" customHeight="1">
      <c r="A60" s="7"/>
      <c r="J60" s="15"/>
      <c r="K60" s="15"/>
      <c r="L60" s="15"/>
    </row>
    <row r="61" spans="1:12" ht="15.75" customHeight="1">
      <c r="A61" s="7"/>
      <c r="J61" s="15"/>
      <c r="K61" s="15"/>
      <c r="L61" s="15"/>
    </row>
    <row r="62" spans="1:12" ht="15.75" customHeight="1">
      <c r="A62" s="7"/>
      <c r="J62" s="15"/>
      <c r="K62" s="15"/>
      <c r="L62" s="15"/>
    </row>
    <row r="63" spans="1:12" ht="15.75" customHeight="1">
      <c r="A63" s="7"/>
      <c r="J63" s="15"/>
      <c r="K63" s="15"/>
      <c r="L63" s="15"/>
    </row>
    <row r="64" spans="1:12" ht="15.75" customHeight="1">
      <c r="A64" s="7"/>
      <c r="J64" s="15"/>
      <c r="K64" s="15"/>
      <c r="L64" s="15"/>
    </row>
    <row r="65" spans="1:12" ht="15.75" customHeight="1">
      <c r="A65" s="7"/>
      <c r="J65" s="15"/>
      <c r="K65" s="15"/>
      <c r="L65" s="15"/>
    </row>
    <row r="66" spans="1:12" ht="15.75" customHeight="1">
      <c r="A66" s="7"/>
      <c r="J66" s="15"/>
      <c r="K66" s="15"/>
      <c r="L66" s="15"/>
    </row>
    <row r="67" spans="1:12" ht="15.75" customHeight="1">
      <c r="A67" s="7"/>
      <c r="J67" s="15"/>
      <c r="K67" s="15"/>
      <c r="L67" s="15"/>
    </row>
    <row r="68" spans="1:12" ht="15.75" customHeight="1">
      <c r="A68" s="7"/>
      <c r="J68" s="15"/>
      <c r="K68" s="15"/>
      <c r="L68" s="15"/>
    </row>
    <row r="69" spans="1:12" ht="15.75" customHeight="1">
      <c r="A69" s="7"/>
      <c r="J69" s="15"/>
      <c r="K69" s="15"/>
      <c r="L69" s="15"/>
    </row>
    <row r="70" spans="1:12" ht="15.75" customHeight="1">
      <c r="A70" s="7"/>
      <c r="J70" s="15"/>
      <c r="K70" s="15"/>
      <c r="L70" s="15"/>
    </row>
    <row r="71" spans="1:12" ht="15.75" customHeight="1">
      <c r="A71" s="7"/>
      <c r="J71" s="15"/>
      <c r="K71" s="15"/>
      <c r="L71" s="15"/>
    </row>
    <row r="72" spans="1:12" ht="15.75" customHeight="1">
      <c r="A72" s="7"/>
      <c r="J72" s="15"/>
      <c r="K72" s="15"/>
      <c r="L72" s="15"/>
    </row>
    <row r="73" spans="1:12" ht="15.75" customHeight="1">
      <c r="A73" s="7"/>
      <c r="J73" s="15"/>
      <c r="K73" s="15"/>
      <c r="L73" s="15"/>
    </row>
    <row r="74" spans="1:12" ht="15.75" customHeight="1">
      <c r="A74" s="7"/>
      <c r="J74" s="15"/>
      <c r="K74" s="15"/>
      <c r="L74" s="15"/>
    </row>
    <row r="75" spans="1:12" ht="15.75" customHeight="1">
      <c r="A75" s="7"/>
      <c r="J75" s="15"/>
      <c r="K75" s="15"/>
      <c r="L75" s="15"/>
    </row>
    <row r="76" spans="1:12" ht="15.75" customHeight="1">
      <c r="A76" s="7"/>
      <c r="J76" s="15"/>
      <c r="K76" s="15"/>
      <c r="L76" s="15"/>
    </row>
    <row r="77" spans="1:12" ht="15.75" customHeight="1">
      <c r="A77" s="7"/>
      <c r="J77" s="15"/>
      <c r="K77" s="15"/>
      <c r="L77" s="15"/>
    </row>
    <row r="78" spans="1:12" ht="15.75" customHeight="1">
      <c r="A78" s="7"/>
      <c r="J78" s="15"/>
      <c r="K78" s="15"/>
      <c r="L78" s="15"/>
    </row>
    <row r="79" spans="1:12" ht="15.75" customHeight="1">
      <c r="A79" s="7"/>
      <c r="J79" s="15"/>
      <c r="K79" s="15"/>
      <c r="L79" s="15"/>
    </row>
    <row r="80" spans="1:12" ht="15.75" customHeight="1">
      <c r="A80" s="7"/>
      <c r="J80" s="15"/>
      <c r="K80" s="15"/>
      <c r="L80" s="15"/>
    </row>
    <row r="81" spans="1:12" ht="15.75" customHeight="1">
      <c r="A81" s="7"/>
      <c r="J81" s="15"/>
      <c r="K81" s="15"/>
      <c r="L81" s="15"/>
    </row>
    <row r="82" spans="1:12" ht="15.75" customHeight="1">
      <c r="A82" s="7"/>
      <c r="J82" s="15"/>
      <c r="K82" s="15"/>
      <c r="L82" s="15"/>
    </row>
    <row r="83" spans="1:12" ht="15.75" customHeight="1">
      <c r="A83" s="7"/>
      <c r="J83" s="15"/>
      <c r="K83" s="15"/>
      <c r="L83" s="15"/>
    </row>
    <row r="84" spans="1:12" ht="15.75" customHeight="1">
      <c r="A84" s="7"/>
      <c r="J84" s="15"/>
      <c r="K84" s="15"/>
      <c r="L84" s="15"/>
    </row>
    <row r="85" spans="1:12" ht="15.75" customHeight="1">
      <c r="A85" s="7"/>
      <c r="J85" s="15"/>
      <c r="K85" s="15"/>
      <c r="L85" s="15"/>
    </row>
    <row r="86" spans="1:12" ht="15.75" customHeight="1">
      <c r="A86" s="7"/>
      <c r="J86" s="15"/>
      <c r="K86" s="15"/>
      <c r="L86" s="15"/>
    </row>
    <row r="87" spans="1:12" ht="15.75" customHeight="1">
      <c r="A87" s="7"/>
      <c r="J87" s="15"/>
      <c r="K87" s="15"/>
      <c r="L87" s="15"/>
    </row>
    <row r="88" spans="1:12" ht="15.75" customHeight="1">
      <c r="A88" s="7"/>
      <c r="J88" s="15"/>
      <c r="K88" s="15"/>
      <c r="L88" s="15"/>
    </row>
    <row r="89" spans="1:12" ht="15.75" customHeight="1">
      <c r="A89" s="7"/>
      <c r="J89" s="15"/>
      <c r="K89" s="15"/>
      <c r="L89" s="15"/>
    </row>
    <row r="90" spans="1:12" ht="15.75" customHeight="1">
      <c r="A90" s="7"/>
      <c r="J90" s="15"/>
      <c r="K90" s="15"/>
      <c r="L90" s="15"/>
    </row>
    <row r="91" spans="1:12" ht="15.75" customHeight="1">
      <c r="A91" s="7"/>
      <c r="J91" s="15"/>
      <c r="K91" s="15"/>
      <c r="L91" s="15"/>
    </row>
    <row r="92" spans="1:12" ht="15.75" customHeight="1">
      <c r="A92" s="7"/>
      <c r="J92" s="15"/>
      <c r="K92" s="15"/>
      <c r="L92" s="15"/>
    </row>
    <row r="93" spans="1:12" ht="15.75" customHeight="1">
      <c r="A93" s="7"/>
      <c r="J93" s="15"/>
      <c r="K93" s="15"/>
      <c r="L93" s="15"/>
    </row>
    <row r="94" spans="1:12" ht="15.75" customHeight="1">
      <c r="A94" s="7"/>
      <c r="J94" s="15"/>
      <c r="K94" s="15"/>
      <c r="L94" s="15"/>
    </row>
    <row r="95" spans="1:12" ht="15.75" customHeight="1">
      <c r="A95" s="7"/>
      <c r="J95" s="15"/>
      <c r="K95" s="15"/>
      <c r="L95" s="15"/>
    </row>
    <row r="96" spans="1:12" ht="15.75" customHeight="1">
      <c r="A96" s="7"/>
      <c r="J96" s="15"/>
      <c r="K96" s="15"/>
      <c r="L96" s="15"/>
    </row>
    <row r="97" spans="1:12" ht="15.75" customHeight="1">
      <c r="A97" s="7"/>
      <c r="J97" s="15"/>
      <c r="K97" s="15"/>
      <c r="L97" s="15"/>
    </row>
    <row r="98" spans="1:12" ht="15.75" customHeight="1">
      <c r="A98" s="7"/>
      <c r="J98" s="15"/>
      <c r="K98" s="15"/>
      <c r="L98" s="15"/>
    </row>
    <row r="99" spans="1:12" ht="15.75" customHeight="1">
      <c r="A99" s="7"/>
      <c r="J99" s="15"/>
      <c r="K99" s="15"/>
      <c r="L99" s="15"/>
    </row>
    <row r="100" spans="1:12" ht="15.75" customHeight="1">
      <c r="A100" s="7"/>
      <c r="J100" s="15"/>
      <c r="K100" s="15"/>
      <c r="L100" s="15"/>
    </row>
    <row r="101" spans="1:12" ht="15.75" customHeight="1">
      <c r="A101" s="7"/>
      <c r="J101" s="15"/>
      <c r="K101" s="15"/>
      <c r="L101" s="15"/>
    </row>
    <row r="102" spans="1:12" ht="15.75" customHeight="1">
      <c r="A102" s="7"/>
      <c r="J102" s="15"/>
      <c r="K102" s="15"/>
      <c r="L102" s="15"/>
    </row>
    <row r="103" spans="1:12" ht="15.75" customHeight="1">
      <c r="A103" s="7"/>
      <c r="J103" s="15"/>
      <c r="K103" s="15"/>
      <c r="L103" s="15"/>
    </row>
    <row r="104" spans="1:12" ht="15.75" customHeight="1">
      <c r="A104" s="7"/>
      <c r="J104" s="15"/>
      <c r="K104" s="15"/>
      <c r="L104" s="15"/>
    </row>
    <row r="105" spans="1:12" ht="15.75" customHeight="1">
      <c r="A105" s="7"/>
      <c r="J105" s="15"/>
      <c r="K105" s="15"/>
      <c r="L105" s="15"/>
    </row>
    <row r="106" spans="1:12" ht="15.75" customHeight="1">
      <c r="A106" s="7"/>
      <c r="J106" s="15"/>
      <c r="K106" s="15"/>
      <c r="L106" s="15"/>
    </row>
    <row r="107" spans="1:12" ht="15.75" customHeight="1">
      <c r="A107" s="7"/>
      <c r="J107" s="15"/>
      <c r="K107" s="15"/>
      <c r="L107" s="15"/>
    </row>
    <row r="108" spans="1:12" ht="15.75" customHeight="1">
      <c r="A108" s="7"/>
      <c r="J108" s="15"/>
      <c r="K108" s="15"/>
      <c r="L108" s="15"/>
    </row>
    <row r="109" spans="1:12" ht="15.75" customHeight="1">
      <c r="A109" s="7"/>
      <c r="J109" s="15"/>
      <c r="K109" s="15"/>
      <c r="L109" s="15"/>
    </row>
    <row r="110" spans="1:12" ht="15.75" customHeight="1">
      <c r="A110" s="7"/>
      <c r="J110" s="15"/>
      <c r="K110" s="15"/>
      <c r="L110" s="15"/>
    </row>
    <row r="111" spans="1:12" ht="15.75" customHeight="1">
      <c r="A111" s="7"/>
      <c r="J111" s="15"/>
      <c r="K111" s="15"/>
      <c r="L111" s="15"/>
    </row>
    <row r="112" spans="1:12" ht="15.75" customHeight="1">
      <c r="A112" s="7"/>
      <c r="J112" s="15"/>
      <c r="K112" s="15"/>
      <c r="L112" s="15"/>
    </row>
    <row r="113" spans="1:12" ht="15.75" customHeight="1">
      <c r="A113" s="7"/>
      <c r="J113" s="15"/>
      <c r="K113" s="15"/>
      <c r="L113" s="15"/>
    </row>
    <row r="114" spans="1:12" ht="15.75" customHeight="1">
      <c r="A114" s="7"/>
      <c r="J114" s="15"/>
      <c r="K114" s="15"/>
      <c r="L114" s="15"/>
    </row>
    <row r="115" spans="1:12" ht="15.75" customHeight="1">
      <c r="A115" s="7"/>
      <c r="J115" s="15"/>
      <c r="K115" s="15"/>
      <c r="L115" s="15"/>
    </row>
    <row r="116" spans="1:12" ht="15.75" customHeight="1">
      <c r="A116" s="7"/>
      <c r="J116" s="15"/>
      <c r="K116" s="15"/>
      <c r="L116" s="15"/>
    </row>
    <row r="117" spans="1:12" ht="15.75" customHeight="1">
      <c r="A117" s="7"/>
      <c r="J117" s="15"/>
      <c r="K117" s="15"/>
      <c r="L117" s="15"/>
    </row>
    <row r="118" spans="1:12" ht="15.75" customHeight="1">
      <c r="A118" s="7"/>
      <c r="J118" s="15"/>
      <c r="K118" s="15"/>
      <c r="L118" s="15"/>
    </row>
    <row r="119" spans="1:12" ht="15.75" customHeight="1">
      <c r="A119" s="7"/>
      <c r="J119" s="15"/>
      <c r="K119" s="15"/>
      <c r="L119" s="15"/>
    </row>
    <row r="120" spans="1:12" ht="15.75" customHeight="1">
      <c r="A120" s="7"/>
      <c r="J120" s="15"/>
      <c r="K120" s="15"/>
      <c r="L120" s="15"/>
    </row>
    <row r="121" spans="1:12" ht="15.75" customHeight="1">
      <c r="A121" s="7"/>
      <c r="J121" s="15"/>
      <c r="K121" s="15"/>
      <c r="L121" s="15"/>
    </row>
    <row r="122" spans="1:12" ht="15.75" customHeight="1">
      <c r="A122" s="7"/>
      <c r="J122" s="15"/>
      <c r="K122" s="15"/>
      <c r="L122" s="15"/>
    </row>
    <row r="123" spans="1:12" ht="15.75" customHeight="1">
      <c r="A123" s="7"/>
      <c r="J123" s="15"/>
      <c r="K123" s="15"/>
      <c r="L123" s="15"/>
    </row>
    <row r="124" spans="1:12" ht="15.75" customHeight="1">
      <c r="A124" s="7"/>
      <c r="J124" s="15"/>
      <c r="K124" s="15"/>
      <c r="L124" s="15"/>
    </row>
    <row r="125" spans="1:12" ht="15.75" customHeight="1">
      <c r="A125" s="7"/>
      <c r="J125" s="15"/>
      <c r="K125" s="15"/>
      <c r="L125" s="15"/>
    </row>
    <row r="126" spans="1:12" ht="15.75" customHeight="1">
      <c r="A126" s="7"/>
      <c r="J126" s="15"/>
      <c r="K126" s="15"/>
      <c r="L126" s="15"/>
    </row>
    <row r="127" spans="1:12" ht="15.75" customHeight="1">
      <c r="A127" s="7"/>
      <c r="J127" s="15"/>
      <c r="K127" s="15"/>
      <c r="L127" s="15"/>
    </row>
    <row r="128" spans="1:12" ht="15.75" customHeight="1">
      <c r="A128" s="7"/>
      <c r="J128" s="15"/>
      <c r="K128" s="15"/>
      <c r="L128" s="15"/>
    </row>
    <row r="129" spans="1:12" ht="15.75" customHeight="1">
      <c r="A129" s="7"/>
      <c r="J129" s="15"/>
      <c r="K129" s="15"/>
      <c r="L129" s="15"/>
    </row>
    <row r="130" spans="1:12" ht="15.75" customHeight="1">
      <c r="A130" s="7"/>
      <c r="J130" s="15"/>
      <c r="K130" s="15"/>
      <c r="L130" s="15"/>
    </row>
    <row r="131" spans="1:12" ht="15.75" customHeight="1">
      <c r="A131" s="7"/>
      <c r="J131" s="15"/>
      <c r="K131" s="15"/>
      <c r="L131" s="15"/>
    </row>
    <row r="132" spans="1:12" ht="15.75" customHeight="1">
      <c r="A132" s="7"/>
      <c r="J132" s="15"/>
      <c r="K132" s="15"/>
      <c r="L132" s="15"/>
    </row>
    <row r="133" spans="1:12" ht="15.75" customHeight="1">
      <c r="A133" s="7"/>
      <c r="J133" s="15"/>
      <c r="K133" s="15"/>
      <c r="L133" s="15"/>
    </row>
    <row r="134" spans="1:12" ht="15.75" customHeight="1">
      <c r="A134" s="7"/>
      <c r="J134" s="15"/>
      <c r="K134" s="15"/>
      <c r="L134" s="15"/>
    </row>
    <row r="135" spans="1:12" ht="15.75" customHeight="1">
      <c r="A135" s="7"/>
      <c r="J135" s="15"/>
      <c r="K135" s="15"/>
      <c r="L135" s="15"/>
    </row>
    <row r="136" spans="1:12" ht="15.75" customHeight="1">
      <c r="A136" s="7"/>
      <c r="J136" s="15"/>
      <c r="K136" s="15"/>
      <c r="L136" s="15"/>
    </row>
    <row r="137" spans="1:12" ht="15.75" customHeight="1">
      <c r="A137" s="7"/>
      <c r="J137" s="15"/>
      <c r="K137" s="15"/>
      <c r="L137" s="15"/>
    </row>
    <row r="138" spans="1:12" ht="15.75" customHeight="1">
      <c r="A138" s="7"/>
      <c r="J138" s="15"/>
      <c r="K138" s="15"/>
      <c r="L138" s="15"/>
    </row>
    <row r="139" spans="1:12" ht="15.75" customHeight="1">
      <c r="A139" s="7"/>
      <c r="J139" s="15"/>
      <c r="K139" s="15"/>
      <c r="L139" s="15"/>
    </row>
    <row r="140" spans="1:12" ht="15.75" customHeight="1">
      <c r="A140" s="7"/>
      <c r="J140" s="15"/>
      <c r="K140" s="15"/>
      <c r="L140" s="15"/>
    </row>
    <row r="141" spans="1:12" ht="15.75" customHeight="1">
      <c r="A141" s="7"/>
      <c r="J141" s="15"/>
      <c r="K141" s="15"/>
      <c r="L141" s="15"/>
    </row>
    <row r="142" spans="1:12" ht="15.75" customHeight="1">
      <c r="A142" s="7"/>
      <c r="J142" s="15"/>
      <c r="K142" s="15"/>
      <c r="L142" s="15"/>
    </row>
    <row r="143" spans="1:12" ht="15.75" customHeight="1">
      <c r="A143" s="7"/>
      <c r="J143" s="15"/>
      <c r="K143" s="15"/>
      <c r="L143" s="15"/>
    </row>
    <row r="144" spans="1:12" ht="15.75" customHeight="1">
      <c r="A144" s="7"/>
      <c r="J144" s="15"/>
      <c r="K144" s="15"/>
      <c r="L144" s="15"/>
    </row>
    <row r="145" spans="1:12" ht="15.75" customHeight="1">
      <c r="A145" s="7"/>
      <c r="J145" s="15"/>
      <c r="K145" s="15"/>
      <c r="L145" s="15"/>
    </row>
    <row r="146" spans="1:12" ht="15.75" customHeight="1">
      <c r="A146" s="7"/>
      <c r="J146" s="15"/>
      <c r="K146" s="15"/>
      <c r="L146" s="15"/>
    </row>
    <row r="147" spans="1:12" ht="15.75" customHeight="1">
      <c r="A147" s="7"/>
      <c r="J147" s="15"/>
      <c r="K147" s="15"/>
      <c r="L147" s="15"/>
    </row>
    <row r="148" spans="1:12" ht="15.75" customHeight="1">
      <c r="A148" s="7"/>
      <c r="J148" s="15"/>
      <c r="K148" s="15"/>
      <c r="L148" s="15"/>
    </row>
    <row r="149" spans="1:12" ht="15.75" customHeight="1">
      <c r="A149" s="7"/>
      <c r="J149" s="15"/>
      <c r="K149" s="15"/>
      <c r="L149" s="15"/>
    </row>
    <row r="150" spans="1:12" ht="15.75" customHeight="1">
      <c r="A150" s="7"/>
      <c r="J150" s="15"/>
      <c r="K150" s="15"/>
      <c r="L150" s="15"/>
    </row>
    <row r="151" spans="1:12" ht="15.75" customHeight="1">
      <c r="A151" s="7"/>
      <c r="J151" s="15"/>
      <c r="K151" s="15"/>
      <c r="L151" s="15"/>
    </row>
    <row r="152" spans="1:12" ht="15.75" customHeight="1">
      <c r="A152" s="7"/>
      <c r="J152" s="15"/>
      <c r="K152" s="15"/>
      <c r="L152" s="15"/>
    </row>
    <row r="153" spans="1:12" ht="15.75" customHeight="1">
      <c r="A153" s="7"/>
      <c r="J153" s="15"/>
      <c r="K153" s="15"/>
      <c r="L153" s="15"/>
    </row>
    <row r="154" spans="1:12" ht="15.75" customHeight="1">
      <c r="A154" s="7"/>
      <c r="J154" s="15"/>
      <c r="K154" s="15"/>
      <c r="L154" s="15"/>
    </row>
    <row r="155" spans="1:12" ht="15.75" customHeight="1">
      <c r="A155" s="7"/>
      <c r="J155" s="15"/>
      <c r="K155" s="15"/>
      <c r="L155" s="15"/>
    </row>
    <row r="156" spans="1:12" ht="15.75" customHeight="1">
      <c r="A156" s="7"/>
      <c r="J156" s="15"/>
      <c r="K156" s="15"/>
      <c r="L156" s="15"/>
    </row>
    <row r="157" spans="1:12" ht="15.75" customHeight="1">
      <c r="A157" s="7"/>
      <c r="J157" s="15"/>
      <c r="K157" s="15"/>
      <c r="L157" s="15"/>
    </row>
    <row r="158" spans="1:12" ht="15.75" customHeight="1">
      <c r="A158" s="7"/>
      <c r="J158" s="15"/>
      <c r="K158" s="15"/>
      <c r="L158" s="15"/>
    </row>
    <row r="159" spans="1:12" ht="15.75" customHeight="1">
      <c r="A159" s="7"/>
      <c r="J159" s="15"/>
      <c r="K159" s="15"/>
      <c r="L159" s="15"/>
    </row>
    <row r="160" spans="1:12" ht="15.75" customHeight="1">
      <c r="A160" s="7"/>
      <c r="J160" s="15"/>
      <c r="K160" s="15"/>
      <c r="L160" s="15"/>
    </row>
    <row r="161" spans="1:12" ht="15.75" customHeight="1">
      <c r="A161" s="7"/>
      <c r="J161" s="15"/>
      <c r="K161" s="15"/>
      <c r="L161" s="15"/>
    </row>
    <row r="162" spans="1:12" ht="15.75" customHeight="1">
      <c r="A162" s="7"/>
      <c r="J162" s="15"/>
      <c r="K162" s="15"/>
      <c r="L162" s="15"/>
    </row>
    <row r="163" spans="1:12" ht="15.75" customHeight="1">
      <c r="A163" s="7"/>
      <c r="J163" s="15"/>
      <c r="K163" s="15"/>
      <c r="L163" s="15"/>
    </row>
    <row r="164" spans="1:12" ht="15.75" customHeight="1">
      <c r="A164" s="7"/>
      <c r="J164" s="15"/>
      <c r="K164" s="15"/>
      <c r="L164" s="15"/>
    </row>
    <row r="165" spans="1:12" ht="15.75" customHeight="1">
      <c r="A165" s="7"/>
      <c r="J165" s="15"/>
      <c r="K165" s="15"/>
      <c r="L165" s="15"/>
    </row>
    <row r="166" spans="1:12" ht="15.75" customHeight="1">
      <c r="A166" s="7"/>
      <c r="J166" s="15"/>
      <c r="K166" s="15"/>
      <c r="L166" s="15"/>
    </row>
    <row r="167" spans="1:12" ht="15.75" customHeight="1">
      <c r="A167" s="7"/>
      <c r="J167" s="15"/>
      <c r="K167" s="15"/>
      <c r="L167" s="15"/>
    </row>
    <row r="168" spans="1:12" ht="15.75" customHeight="1">
      <c r="A168" s="7"/>
      <c r="J168" s="15"/>
      <c r="K168" s="15"/>
      <c r="L168" s="15"/>
    </row>
    <row r="169" spans="1:12" ht="15.75" customHeight="1">
      <c r="A169" s="7"/>
      <c r="J169" s="15"/>
      <c r="K169" s="15"/>
      <c r="L169" s="15"/>
    </row>
    <row r="170" spans="1:12" ht="15.75" customHeight="1">
      <c r="A170" s="7"/>
      <c r="J170" s="15"/>
      <c r="K170" s="15"/>
      <c r="L170" s="15"/>
    </row>
    <row r="171" spans="1:12" ht="15.75" customHeight="1">
      <c r="A171" s="7"/>
      <c r="J171" s="15"/>
      <c r="K171" s="15"/>
      <c r="L171" s="15"/>
    </row>
    <row r="172" spans="1:12" ht="15.75" customHeight="1">
      <c r="A172" s="7"/>
      <c r="J172" s="15"/>
      <c r="K172" s="15"/>
      <c r="L172" s="15"/>
    </row>
    <row r="173" spans="1:12" ht="15.75" customHeight="1">
      <c r="A173" s="7"/>
      <c r="J173" s="15"/>
      <c r="K173" s="15"/>
      <c r="L173" s="15"/>
    </row>
    <row r="174" spans="1:12" ht="15.75" customHeight="1">
      <c r="A174" s="7"/>
      <c r="J174" s="15"/>
      <c r="K174" s="15"/>
      <c r="L174" s="15"/>
    </row>
    <row r="175" spans="1:12" ht="15.75" customHeight="1">
      <c r="A175" s="7"/>
      <c r="J175" s="15"/>
      <c r="K175" s="15"/>
      <c r="L175" s="15"/>
    </row>
    <row r="176" spans="1:12" ht="15.75" customHeight="1">
      <c r="A176" s="7"/>
      <c r="J176" s="15"/>
      <c r="K176" s="15"/>
      <c r="L176" s="15"/>
    </row>
    <row r="177" spans="1:12" ht="15.75" customHeight="1">
      <c r="A177" s="7"/>
      <c r="J177" s="15"/>
      <c r="K177" s="15"/>
      <c r="L177" s="15"/>
    </row>
    <row r="178" spans="1:12" ht="15.75" customHeight="1">
      <c r="A178" s="7"/>
      <c r="J178" s="15"/>
      <c r="K178" s="15"/>
      <c r="L178" s="15"/>
    </row>
    <row r="179" spans="1:12" ht="15.75" customHeight="1">
      <c r="A179" s="7"/>
      <c r="J179" s="15"/>
      <c r="K179" s="15"/>
      <c r="L179" s="15"/>
    </row>
    <row r="180" spans="1:12" ht="15.75" customHeight="1">
      <c r="A180" s="7"/>
      <c r="J180" s="15"/>
      <c r="K180" s="15"/>
      <c r="L180" s="15"/>
    </row>
    <row r="181" spans="1:12" ht="15.75" customHeight="1">
      <c r="A181" s="7"/>
      <c r="J181" s="15"/>
      <c r="K181" s="15"/>
      <c r="L181" s="15"/>
    </row>
    <row r="182" spans="1:12" ht="15.75" customHeight="1">
      <c r="A182" s="7"/>
      <c r="J182" s="15"/>
      <c r="K182" s="15"/>
      <c r="L182" s="15"/>
    </row>
    <row r="183" spans="1:12" ht="15.75" customHeight="1">
      <c r="A183" s="7"/>
      <c r="J183" s="15"/>
      <c r="K183" s="15"/>
      <c r="L183" s="15"/>
    </row>
    <row r="184" spans="1:12" ht="15.75" customHeight="1">
      <c r="A184" s="7"/>
      <c r="J184" s="15"/>
      <c r="K184" s="15"/>
      <c r="L184" s="15"/>
    </row>
    <row r="185" spans="1:12" ht="15.75" customHeight="1">
      <c r="A185" s="7"/>
      <c r="J185" s="15"/>
      <c r="K185" s="15"/>
      <c r="L185" s="15"/>
    </row>
    <row r="186" spans="1:12" ht="15.75" customHeight="1">
      <c r="A186" s="7"/>
      <c r="J186" s="15"/>
      <c r="K186" s="15"/>
      <c r="L186" s="15"/>
    </row>
    <row r="187" spans="1:12" ht="15.75" customHeight="1">
      <c r="A187" s="7"/>
      <c r="J187" s="15"/>
      <c r="K187" s="15"/>
      <c r="L187" s="15"/>
    </row>
    <row r="188" spans="1:12" ht="15.75" customHeight="1">
      <c r="A188" s="7"/>
      <c r="J188" s="15"/>
      <c r="K188" s="15"/>
      <c r="L188" s="15"/>
    </row>
    <row r="189" spans="1:12" ht="15.75" customHeight="1">
      <c r="A189" s="7"/>
      <c r="J189" s="15"/>
      <c r="K189" s="15"/>
      <c r="L189" s="15"/>
    </row>
    <row r="190" spans="1:12" ht="15.75" customHeight="1">
      <c r="A190" s="7"/>
      <c r="J190" s="15"/>
      <c r="K190" s="15"/>
      <c r="L190" s="15"/>
    </row>
    <row r="191" spans="1:12" ht="15.75" customHeight="1">
      <c r="A191" s="7"/>
      <c r="J191" s="15"/>
      <c r="K191" s="15"/>
      <c r="L191" s="15"/>
    </row>
    <row r="192" spans="1:12" ht="15.75" customHeight="1">
      <c r="A192" s="7"/>
      <c r="J192" s="15"/>
      <c r="K192" s="15"/>
      <c r="L192" s="15"/>
    </row>
    <row r="193" spans="1:12" ht="15.75" customHeight="1">
      <c r="A193" s="7"/>
      <c r="J193" s="15"/>
      <c r="K193" s="15"/>
      <c r="L193" s="15"/>
    </row>
    <row r="194" spans="1:12" ht="15.75" customHeight="1">
      <c r="A194" s="7"/>
      <c r="J194" s="15"/>
      <c r="K194" s="15"/>
      <c r="L194" s="15"/>
    </row>
    <row r="195" spans="1:12" ht="15.75" customHeight="1">
      <c r="A195" s="7"/>
      <c r="J195" s="15"/>
      <c r="K195" s="15"/>
      <c r="L195" s="15"/>
    </row>
    <row r="196" spans="1:12" ht="15.75" customHeight="1">
      <c r="A196" s="7"/>
      <c r="J196" s="15"/>
      <c r="K196" s="15"/>
      <c r="L196" s="15"/>
    </row>
    <row r="197" spans="1:12" ht="15.75" customHeight="1">
      <c r="A197" s="7"/>
      <c r="J197" s="15"/>
      <c r="K197" s="15"/>
      <c r="L197" s="15"/>
    </row>
    <row r="198" spans="1:12" ht="15.75" customHeight="1">
      <c r="A198" s="7"/>
      <c r="J198" s="15"/>
      <c r="K198" s="15"/>
      <c r="L198" s="15"/>
    </row>
    <row r="199" spans="1:12" ht="15.75" customHeight="1">
      <c r="A199" s="7"/>
      <c r="J199" s="15"/>
      <c r="K199" s="15"/>
      <c r="L199" s="15"/>
    </row>
    <row r="200" spans="1:12" ht="15.75" customHeight="1">
      <c r="A200" s="7"/>
      <c r="J200" s="15"/>
      <c r="K200" s="15"/>
      <c r="L200" s="15"/>
    </row>
    <row r="201" spans="1:12" ht="15.75" customHeight="1">
      <c r="A201" s="7"/>
      <c r="J201" s="15"/>
      <c r="K201" s="15"/>
      <c r="L201" s="15"/>
    </row>
    <row r="202" spans="1:12" ht="15.75" customHeight="1">
      <c r="A202" s="7"/>
      <c r="J202" s="15"/>
      <c r="K202" s="15"/>
      <c r="L202" s="15"/>
    </row>
    <row r="203" spans="1:12" ht="15.75" customHeight="1">
      <c r="A203" s="7"/>
      <c r="J203" s="15"/>
      <c r="K203" s="15"/>
      <c r="L203" s="15"/>
    </row>
    <row r="204" spans="1:12" ht="15.75" customHeight="1">
      <c r="A204" s="7"/>
      <c r="J204" s="15"/>
      <c r="K204" s="15"/>
      <c r="L204" s="15"/>
    </row>
    <row r="205" spans="1:12" ht="15.75" customHeight="1">
      <c r="A205" s="7"/>
      <c r="J205" s="15"/>
      <c r="K205" s="15"/>
      <c r="L205" s="15"/>
    </row>
    <row r="206" spans="1:12" ht="15.75" customHeight="1">
      <c r="A206" s="7"/>
      <c r="J206" s="15"/>
      <c r="K206" s="15"/>
      <c r="L206" s="15"/>
    </row>
    <row r="207" spans="1:12" ht="15.75" customHeight="1">
      <c r="A207" s="7"/>
      <c r="J207" s="15"/>
      <c r="K207" s="15"/>
      <c r="L207" s="15"/>
    </row>
    <row r="208" spans="1:12" ht="15.75" customHeight="1">
      <c r="A208" s="7"/>
      <c r="J208" s="15"/>
      <c r="K208" s="15"/>
      <c r="L208" s="15"/>
    </row>
    <row r="209" spans="1:12" ht="15.75" customHeight="1">
      <c r="A209" s="7"/>
      <c r="J209" s="15"/>
      <c r="K209" s="15"/>
      <c r="L209" s="15"/>
    </row>
    <row r="210" spans="1:12" ht="15.75" customHeight="1">
      <c r="A210" s="7"/>
      <c r="J210" s="15"/>
      <c r="K210" s="15"/>
      <c r="L210" s="15"/>
    </row>
    <row r="211" spans="1:12" ht="15.75" customHeight="1">
      <c r="A211" s="7"/>
      <c r="J211" s="15"/>
      <c r="K211" s="15"/>
      <c r="L211" s="15"/>
    </row>
    <row r="212" spans="1:12" ht="15.75" customHeight="1">
      <c r="A212" s="7"/>
      <c r="J212" s="15"/>
      <c r="K212" s="15"/>
      <c r="L212" s="15"/>
    </row>
    <row r="213" spans="1:12" ht="15.75" customHeight="1">
      <c r="A213" s="7"/>
      <c r="J213" s="15"/>
      <c r="K213" s="15"/>
      <c r="L213" s="15"/>
    </row>
    <row r="214" spans="1:12" ht="15.75" customHeight="1">
      <c r="A214" s="7"/>
      <c r="J214" s="15"/>
      <c r="K214" s="15"/>
      <c r="L214" s="15"/>
    </row>
    <row r="215" spans="1:12" ht="15.75" customHeight="1">
      <c r="A215" s="7"/>
      <c r="J215" s="15"/>
      <c r="K215" s="15"/>
      <c r="L215" s="15"/>
    </row>
    <row r="216" spans="1:12" ht="15.75" customHeight="1">
      <c r="A216" s="7"/>
      <c r="J216" s="15"/>
      <c r="K216" s="15"/>
      <c r="L216" s="15"/>
    </row>
    <row r="217" spans="1:12" ht="15.75" customHeight="1">
      <c r="A217" s="7"/>
      <c r="J217" s="15"/>
      <c r="K217" s="15"/>
      <c r="L217" s="15"/>
    </row>
    <row r="218" spans="1:12" ht="15.75" customHeight="1">
      <c r="A218" s="7"/>
      <c r="J218" s="15"/>
      <c r="K218" s="15"/>
      <c r="L218" s="15"/>
    </row>
    <row r="219" spans="1:12" ht="15.75" customHeight="1">
      <c r="A219" s="7"/>
      <c r="J219" s="15"/>
      <c r="K219" s="15"/>
      <c r="L219" s="15"/>
    </row>
    <row r="220" spans="1:12" ht="15.75" customHeight="1">
      <c r="A220" s="7"/>
      <c r="J220" s="15"/>
      <c r="K220" s="15"/>
      <c r="L220" s="15"/>
    </row>
    <row r="221" spans="1:12" ht="15.75" customHeight="1">
      <c r="A221" s="7"/>
      <c r="J221" s="15"/>
      <c r="K221" s="15"/>
      <c r="L221" s="15"/>
    </row>
    <row r="222" spans="1:12" ht="15.75" customHeight="1">
      <c r="A222" s="7"/>
      <c r="J222" s="15"/>
      <c r="K222" s="15"/>
      <c r="L222" s="15"/>
    </row>
    <row r="223" spans="1:12" ht="15.75" customHeight="1">
      <c r="A223" s="7"/>
      <c r="J223" s="15"/>
      <c r="K223" s="15"/>
      <c r="L223" s="15"/>
    </row>
    <row r="224" spans="1:12" ht="15.75" customHeight="1">
      <c r="A224" s="7"/>
      <c r="J224" s="15"/>
      <c r="K224" s="15"/>
      <c r="L224" s="15"/>
    </row>
    <row r="225" spans="1:12" ht="15.75" customHeight="1">
      <c r="A225" s="7"/>
      <c r="J225" s="15"/>
      <c r="K225" s="15"/>
      <c r="L225" s="15"/>
    </row>
    <row r="226" spans="1:12" ht="15.75" customHeight="1">
      <c r="A226" s="7"/>
      <c r="J226" s="15"/>
      <c r="K226" s="15"/>
      <c r="L226" s="15"/>
    </row>
    <row r="227" spans="1:12" ht="15.75" customHeight="1">
      <c r="A227" s="7"/>
      <c r="J227" s="15"/>
      <c r="K227" s="15"/>
      <c r="L227" s="15"/>
    </row>
    <row r="228" spans="1:12" ht="15.75" customHeight="1">
      <c r="A228" s="7"/>
      <c r="J228" s="15"/>
      <c r="K228" s="15"/>
      <c r="L228" s="15"/>
    </row>
    <row r="229" spans="1:12" ht="15.75" customHeight="1">
      <c r="A229" s="7"/>
      <c r="J229" s="15"/>
      <c r="K229" s="15"/>
      <c r="L229" s="15"/>
    </row>
    <row r="230" spans="1:12" ht="15.75" customHeight="1">
      <c r="A230" s="7"/>
      <c r="J230" s="15"/>
      <c r="K230" s="15"/>
      <c r="L230" s="15"/>
    </row>
    <row r="231" spans="1:12" ht="15.75" customHeight="1">
      <c r="A231" s="7"/>
      <c r="J231" s="15"/>
      <c r="K231" s="15"/>
      <c r="L231" s="15"/>
    </row>
    <row r="232" spans="1:12" ht="15.75" customHeight="1">
      <c r="A232" s="7"/>
      <c r="J232" s="15"/>
      <c r="K232" s="15"/>
      <c r="L232" s="15"/>
    </row>
    <row r="233" spans="1:12" ht="15.75" customHeight="1">
      <c r="A233" s="7"/>
      <c r="J233" s="15"/>
      <c r="K233" s="15"/>
      <c r="L233" s="15"/>
    </row>
    <row r="234" spans="1:12" ht="15.75" customHeight="1">
      <c r="A234" s="7"/>
      <c r="J234" s="15"/>
      <c r="K234" s="15"/>
      <c r="L234" s="15"/>
    </row>
    <row r="235" spans="1:12" ht="15.75" customHeight="1">
      <c r="A235" s="7"/>
      <c r="J235" s="15"/>
      <c r="K235" s="15"/>
      <c r="L235" s="15"/>
    </row>
    <row r="236" spans="1:12" ht="15.75" customHeight="1">
      <c r="A236" s="7"/>
      <c r="J236" s="15"/>
      <c r="K236" s="15"/>
      <c r="L236" s="15"/>
    </row>
    <row r="237" spans="1:12" ht="15.75" customHeight="1">
      <c r="A237" s="7"/>
      <c r="J237" s="15"/>
      <c r="K237" s="15"/>
      <c r="L237" s="15"/>
    </row>
    <row r="238" spans="1:12" ht="15.75" customHeight="1">
      <c r="A238" s="7"/>
      <c r="J238" s="15"/>
      <c r="K238" s="15"/>
      <c r="L238" s="15"/>
    </row>
    <row r="239" spans="1:12" ht="15.75" customHeight="1">
      <c r="A239" s="7"/>
      <c r="J239" s="15"/>
      <c r="K239" s="15"/>
      <c r="L239" s="15"/>
    </row>
    <row r="240" spans="1:12" ht="15.75" customHeight="1">
      <c r="A240" s="7"/>
      <c r="J240" s="15"/>
      <c r="K240" s="15"/>
      <c r="L240" s="15"/>
    </row>
    <row r="241" spans="1:12" ht="15.75" customHeight="1">
      <c r="A241" s="7"/>
      <c r="J241" s="15"/>
      <c r="K241" s="15"/>
      <c r="L241" s="15"/>
    </row>
    <row r="242" spans="1:12" ht="15.75" customHeight="1">
      <c r="A242" s="7"/>
      <c r="J242" s="15"/>
      <c r="K242" s="15"/>
      <c r="L242" s="15"/>
    </row>
    <row r="243" spans="1:12" ht="15.75" customHeight="1">
      <c r="A243" s="7"/>
      <c r="J243" s="15"/>
      <c r="K243" s="15"/>
      <c r="L243" s="15"/>
    </row>
    <row r="244" spans="1:12" ht="15.75" customHeight="1">
      <c r="A244" s="7"/>
      <c r="J244" s="15"/>
      <c r="K244" s="15"/>
      <c r="L244" s="15"/>
    </row>
    <row r="245" spans="1:12" ht="15.75" customHeight="1">
      <c r="A245" s="7"/>
      <c r="J245" s="15"/>
      <c r="K245" s="15"/>
      <c r="L245" s="15"/>
    </row>
    <row r="246" spans="1:12" ht="15.75" customHeight="1">
      <c r="A246" s="7"/>
      <c r="J246" s="15"/>
      <c r="K246" s="15"/>
      <c r="L246" s="15"/>
    </row>
    <row r="247" spans="1:12" ht="15.75" customHeight="1">
      <c r="A247" s="7"/>
      <c r="J247" s="15"/>
      <c r="K247" s="15"/>
      <c r="L247" s="15"/>
    </row>
    <row r="248" spans="1:12" ht="15.75" customHeight="1">
      <c r="A248" s="7"/>
      <c r="J248" s="15"/>
      <c r="K248" s="15"/>
      <c r="L248" s="15"/>
    </row>
    <row r="249" spans="1:12" ht="15.75" customHeight="1">
      <c r="A249" s="7"/>
      <c r="J249" s="15"/>
      <c r="K249" s="15"/>
      <c r="L249" s="15"/>
    </row>
    <row r="250" spans="1:12" ht="15.75" customHeight="1">
      <c r="A250" s="7"/>
      <c r="J250" s="15"/>
      <c r="K250" s="15"/>
      <c r="L250" s="15"/>
    </row>
    <row r="251" spans="1:12" ht="15.75" customHeight="1">
      <c r="A251" s="7"/>
      <c r="J251" s="15"/>
      <c r="K251" s="15"/>
      <c r="L251" s="15"/>
    </row>
    <row r="252" spans="1:12" ht="15.75" customHeight="1">
      <c r="A252" s="7"/>
      <c r="J252" s="15"/>
      <c r="K252" s="15"/>
      <c r="L252" s="15"/>
    </row>
    <row r="253" spans="1:12" ht="15.75" customHeight="1">
      <c r="A253" s="7"/>
      <c r="J253" s="15"/>
      <c r="K253" s="15"/>
      <c r="L253" s="15"/>
    </row>
    <row r="254" spans="1:12" ht="15.75" customHeight="1">
      <c r="A254" s="7"/>
      <c r="J254" s="15"/>
      <c r="K254" s="15"/>
      <c r="L254" s="15"/>
    </row>
    <row r="255" spans="1:12" ht="15.75" customHeight="1">
      <c r="A255" s="7"/>
      <c r="J255" s="15"/>
      <c r="K255" s="15"/>
      <c r="L255" s="15"/>
    </row>
    <row r="256" spans="1:12" ht="15.75" customHeight="1">
      <c r="A256" s="7"/>
      <c r="J256" s="15"/>
      <c r="K256" s="15"/>
      <c r="L256" s="15"/>
    </row>
    <row r="257" spans="1:12" ht="15.75" customHeight="1">
      <c r="A257" s="7"/>
      <c r="J257" s="15"/>
      <c r="K257" s="15"/>
      <c r="L257" s="15"/>
    </row>
    <row r="258" spans="1:12" ht="15.75" customHeight="1">
      <c r="A258" s="7"/>
      <c r="J258" s="15"/>
      <c r="K258" s="15"/>
      <c r="L258" s="15"/>
    </row>
    <row r="259" spans="1:12" ht="15.75" customHeight="1">
      <c r="A259" s="7"/>
      <c r="J259" s="15"/>
      <c r="K259" s="15"/>
      <c r="L259" s="15"/>
    </row>
    <row r="260" spans="1:12" ht="15.75" customHeight="1">
      <c r="A260" s="7"/>
      <c r="J260" s="15"/>
      <c r="K260" s="15"/>
      <c r="L260" s="15"/>
    </row>
    <row r="261" spans="1:12" ht="15.75" customHeight="1">
      <c r="A261" s="7"/>
      <c r="J261" s="15"/>
      <c r="K261" s="15"/>
      <c r="L261" s="15"/>
    </row>
    <row r="262" spans="1:12" ht="15.75" customHeight="1">
      <c r="A262" s="7"/>
      <c r="J262" s="15"/>
      <c r="K262" s="15"/>
      <c r="L262" s="15"/>
    </row>
    <row r="263" spans="1:12" ht="15.75" customHeight="1">
      <c r="A263" s="7"/>
      <c r="J263" s="15"/>
      <c r="K263" s="15"/>
      <c r="L263" s="15"/>
    </row>
    <row r="264" spans="1:12" ht="15.75" customHeight="1">
      <c r="A264" s="7"/>
      <c r="J264" s="15"/>
      <c r="K264" s="15"/>
      <c r="L264" s="15"/>
    </row>
    <row r="265" spans="1:12" ht="15.75" customHeight="1">
      <c r="A265" s="7"/>
      <c r="J265" s="15"/>
      <c r="K265" s="15"/>
      <c r="L265" s="15"/>
    </row>
    <row r="266" spans="1:12" ht="15.75" customHeight="1">
      <c r="A266" s="7"/>
      <c r="J266" s="15"/>
      <c r="K266" s="15"/>
      <c r="L266" s="15"/>
    </row>
    <row r="267" spans="1:12" ht="15.75" customHeight="1">
      <c r="A267" s="7"/>
      <c r="J267" s="15"/>
      <c r="K267" s="15"/>
      <c r="L267" s="15"/>
    </row>
    <row r="268" spans="1:12" ht="15.75" customHeight="1">
      <c r="A268" s="7"/>
      <c r="J268" s="15"/>
      <c r="K268" s="15"/>
      <c r="L268" s="15"/>
    </row>
    <row r="269" spans="1:12" ht="15.75" customHeight="1">
      <c r="A269" s="7"/>
      <c r="J269" s="15"/>
      <c r="K269" s="15"/>
      <c r="L269" s="15"/>
    </row>
    <row r="270" spans="1:12" ht="15.75" customHeight="1">
      <c r="A270" s="7"/>
      <c r="J270" s="15"/>
      <c r="K270" s="15"/>
      <c r="L270" s="15"/>
    </row>
    <row r="271" spans="1:12" ht="15.75" customHeight="1">
      <c r="A271" s="7"/>
      <c r="J271" s="15"/>
      <c r="K271" s="15"/>
      <c r="L271" s="15"/>
    </row>
    <row r="272" spans="1:12" ht="15.75" customHeight="1">
      <c r="A272" s="7"/>
      <c r="J272" s="15"/>
      <c r="K272" s="15"/>
      <c r="L272" s="15"/>
    </row>
    <row r="273" spans="1:12" ht="15.75" customHeight="1">
      <c r="A273" s="7"/>
      <c r="J273" s="15"/>
      <c r="K273" s="15"/>
      <c r="L273" s="15"/>
    </row>
    <row r="274" spans="1:12" ht="15.75" customHeight="1">
      <c r="A274" s="7"/>
      <c r="J274" s="15"/>
      <c r="K274" s="15"/>
      <c r="L274" s="15"/>
    </row>
    <row r="275" spans="1:12" ht="15.75" customHeight="1">
      <c r="A275" s="7"/>
      <c r="J275" s="15"/>
      <c r="K275" s="15"/>
      <c r="L275" s="15"/>
    </row>
    <row r="276" spans="1:12" ht="15.75" customHeight="1">
      <c r="A276" s="7"/>
      <c r="J276" s="15"/>
      <c r="K276" s="15"/>
      <c r="L276" s="15"/>
    </row>
    <row r="277" spans="1:12" ht="15.75" customHeight="1">
      <c r="A277" s="7"/>
      <c r="J277" s="15"/>
      <c r="K277" s="15"/>
      <c r="L277" s="15"/>
    </row>
    <row r="278" spans="1:12" ht="15.75" customHeight="1">
      <c r="A278" s="7"/>
      <c r="J278" s="15"/>
      <c r="K278" s="15"/>
      <c r="L278" s="15"/>
    </row>
    <row r="279" spans="1:12" ht="15.75" customHeight="1">
      <c r="A279" s="7"/>
      <c r="J279" s="15"/>
      <c r="K279" s="15"/>
      <c r="L279" s="15"/>
    </row>
    <row r="280" spans="1:12" ht="15.75" customHeight="1">
      <c r="A280" s="7"/>
      <c r="J280" s="15"/>
      <c r="K280" s="15"/>
      <c r="L280" s="15"/>
    </row>
    <row r="281" spans="1:12" ht="15.75" customHeight="1">
      <c r="A281" s="7"/>
      <c r="J281" s="15"/>
      <c r="K281" s="15"/>
      <c r="L281" s="15"/>
    </row>
    <row r="282" spans="1:12" ht="15.75" customHeight="1">
      <c r="A282" s="7"/>
      <c r="J282" s="15"/>
      <c r="K282" s="15"/>
      <c r="L282" s="15"/>
    </row>
    <row r="283" spans="1:12" ht="15.75" customHeight="1">
      <c r="A283" s="7"/>
      <c r="J283" s="15"/>
      <c r="K283" s="15"/>
      <c r="L283" s="15"/>
    </row>
    <row r="284" spans="1:12" ht="15.75" customHeight="1">
      <c r="A284" s="7"/>
      <c r="J284" s="15"/>
      <c r="K284" s="15"/>
      <c r="L284" s="15"/>
    </row>
    <row r="285" spans="1:12" ht="15.75" customHeight="1">
      <c r="A285" s="7"/>
      <c r="J285" s="15"/>
      <c r="K285" s="15"/>
      <c r="L285" s="15"/>
    </row>
    <row r="286" spans="1:12" ht="15.75" customHeight="1">
      <c r="A286" s="7"/>
      <c r="J286" s="15"/>
      <c r="K286" s="15"/>
      <c r="L286" s="15"/>
    </row>
    <row r="287" spans="1:12" ht="15.75" customHeight="1">
      <c r="A287" s="7"/>
      <c r="J287" s="15"/>
      <c r="K287" s="15"/>
      <c r="L287" s="15"/>
    </row>
    <row r="288" spans="1:12" ht="15.75" customHeight="1">
      <c r="A288" s="7"/>
      <c r="J288" s="15"/>
      <c r="K288" s="15"/>
      <c r="L288" s="15"/>
    </row>
    <row r="289" spans="1:12" ht="15.75" customHeight="1">
      <c r="A289" s="7"/>
      <c r="J289" s="15"/>
      <c r="K289" s="15"/>
      <c r="L289" s="15"/>
    </row>
    <row r="290" spans="1:12" ht="15.75" customHeight="1">
      <c r="A290" s="7"/>
      <c r="J290" s="15"/>
      <c r="K290" s="15"/>
      <c r="L290" s="15"/>
    </row>
    <row r="291" spans="1:12" ht="15.75" customHeight="1">
      <c r="A291" s="7"/>
      <c r="J291" s="15"/>
      <c r="K291" s="15"/>
      <c r="L291" s="15"/>
    </row>
    <row r="292" spans="1:12" ht="15.75" customHeight="1">
      <c r="A292" s="7"/>
      <c r="J292" s="15"/>
      <c r="K292" s="15"/>
      <c r="L292" s="15"/>
    </row>
    <row r="293" spans="1:12" ht="15.75" customHeight="1">
      <c r="A293" s="7"/>
      <c r="J293" s="15"/>
      <c r="K293" s="15"/>
      <c r="L293" s="15"/>
    </row>
    <row r="294" spans="1:12" ht="15.75" customHeight="1">
      <c r="A294" s="7"/>
      <c r="J294" s="15"/>
      <c r="K294" s="15"/>
      <c r="L294" s="15"/>
    </row>
    <row r="295" spans="1:12" ht="15.75" customHeight="1">
      <c r="A295" s="7"/>
      <c r="J295" s="15"/>
      <c r="K295" s="15"/>
      <c r="L295" s="15"/>
    </row>
    <row r="296" spans="1:12" ht="15.75" customHeight="1">
      <c r="A296" s="7"/>
      <c r="J296" s="15"/>
      <c r="K296" s="15"/>
      <c r="L296" s="15"/>
    </row>
    <row r="297" spans="1:12" ht="15.75" customHeight="1">
      <c r="A297" s="7"/>
      <c r="J297" s="15"/>
      <c r="K297" s="15"/>
      <c r="L297" s="15"/>
    </row>
    <row r="298" spans="1:12" ht="15.75" customHeight="1">
      <c r="A298" s="7"/>
      <c r="J298" s="15"/>
      <c r="K298" s="15"/>
      <c r="L298" s="15"/>
    </row>
    <row r="299" spans="1:12" ht="15.75" customHeight="1">
      <c r="A299" s="7"/>
      <c r="J299" s="15"/>
      <c r="K299" s="15"/>
      <c r="L299" s="15"/>
    </row>
    <row r="300" spans="1:12" ht="15.75" customHeight="1">
      <c r="A300" s="7"/>
      <c r="J300" s="15"/>
      <c r="K300" s="15"/>
      <c r="L300" s="15"/>
    </row>
    <row r="301" spans="1:12" ht="15.75" customHeight="1">
      <c r="A301" s="7"/>
      <c r="J301" s="15"/>
      <c r="K301" s="15"/>
      <c r="L301" s="15"/>
    </row>
    <row r="302" spans="1:12" ht="15.75" customHeight="1">
      <c r="A302" s="7"/>
      <c r="J302" s="15"/>
      <c r="K302" s="15"/>
      <c r="L302" s="15"/>
    </row>
    <row r="303" spans="1:12" ht="15.75" customHeight="1">
      <c r="A303" s="7"/>
      <c r="J303" s="15"/>
      <c r="K303" s="15"/>
      <c r="L303" s="15"/>
    </row>
    <row r="304" spans="1:12" ht="15.75" customHeight="1">
      <c r="A304" s="7"/>
      <c r="J304" s="15"/>
      <c r="K304" s="15"/>
      <c r="L304" s="15"/>
    </row>
    <row r="305" spans="1:12" ht="15.75" customHeight="1">
      <c r="A305" s="7"/>
      <c r="J305" s="15"/>
      <c r="K305" s="15"/>
      <c r="L305" s="15"/>
    </row>
    <row r="306" spans="1:12" ht="15.75" customHeight="1">
      <c r="A306" s="7"/>
      <c r="J306" s="15"/>
      <c r="K306" s="15"/>
      <c r="L306" s="15"/>
    </row>
    <row r="307" spans="1:12" ht="15.75" customHeight="1">
      <c r="A307" s="7"/>
      <c r="J307" s="15"/>
      <c r="K307" s="15"/>
      <c r="L307" s="15"/>
    </row>
    <row r="308" spans="1:12" ht="15.75" customHeight="1">
      <c r="A308" s="7"/>
      <c r="J308" s="15"/>
      <c r="K308" s="15"/>
      <c r="L308" s="15"/>
    </row>
    <row r="309" spans="1:12" ht="15.75" customHeight="1">
      <c r="A309" s="7"/>
      <c r="J309" s="15"/>
      <c r="K309" s="15"/>
      <c r="L309" s="15"/>
    </row>
    <row r="310" spans="1:12" ht="15.75" customHeight="1">
      <c r="A310" s="7"/>
      <c r="J310" s="15"/>
      <c r="K310" s="15"/>
      <c r="L310" s="15"/>
    </row>
    <row r="311" spans="1:12" ht="15.75" customHeight="1">
      <c r="A311" s="7"/>
      <c r="J311" s="15"/>
      <c r="K311" s="15"/>
      <c r="L311" s="15"/>
    </row>
    <row r="312" spans="1:12" ht="15.75" customHeight="1">
      <c r="A312" s="7"/>
      <c r="J312" s="15"/>
      <c r="K312" s="15"/>
      <c r="L312" s="15"/>
    </row>
    <row r="313" spans="1:12" ht="15.75" customHeight="1">
      <c r="A313" s="7"/>
      <c r="J313" s="15"/>
      <c r="K313" s="15"/>
      <c r="L313" s="15"/>
    </row>
    <row r="314" spans="1:12" ht="15.75" customHeight="1">
      <c r="A314" s="7"/>
      <c r="J314" s="15"/>
      <c r="K314" s="15"/>
      <c r="L314" s="15"/>
    </row>
    <row r="315" spans="1:12" ht="15.75" customHeight="1">
      <c r="A315" s="7"/>
      <c r="J315" s="15"/>
      <c r="K315" s="15"/>
      <c r="L315" s="15"/>
    </row>
    <row r="316" spans="1:12" ht="15.75" customHeight="1">
      <c r="A316" s="7"/>
      <c r="J316" s="15"/>
      <c r="K316" s="15"/>
      <c r="L316" s="15"/>
    </row>
    <row r="317" spans="1:12" ht="15.75" customHeight="1">
      <c r="A317" s="7"/>
      <c r="J317" s="15"/>
      <c r="K317" s="15"/>
      <c r="L317" s="15"/>
    </row>
    <row r="318" spans="1:12" ht="15.75" customHeight="1">
      <c r="A318" s="7"/>
      <c r="J318" s="15"/>
      <c r="K318" s="15"/>
      <c r="L318" s="15"/>
    </row>
    <row r="319" spans="1:12" ht="15.75" customHeight="1">
      <c r="A319" s="7"/>
      <c r="J319" s="15"/>
      <c r="K319" s="15"/>
      <c r="L319" s="15"/>
    </row>
    <row r="320" spans="1:12" ht="15.75" customHeight="1">
      <c r="A320" s="7"/>
      <c r="J320" s="15"/>
      <c r="K320" s="15"/>
      <c r="L320" s="15"/>
    </row>
    <row r="321" spans="1:12" ht="15.75" customHeight="1">
      <c r="A321" s="7"/>
      <c r="J321" s="15"/>
      <c r="K321" s="15"/>
      <c r="L321" s="15"/>
    </row>
    <row r="322" spans="1:12" ht="15.75" customHeight="1">
      <c r="A322" s="7"/>
      <c r="J322" s="15"/>
      <c r="K322" s="15"/>
      <c r="L322" s="15"/>
    </row>
    <row r="323" spans="1:12" ht="15.75" customHeight="1">
      <c r="A323" s="7"/>
      <c r="J323" s="15"/>
      <c r="K323" s="15"/>
      <c r="L323" s="15"/>
    </row>
    <row r="324" spans="1:12" ht="15.75" customHeight="1">
      <c r="A324" s="7"/>
      <c r="J324" s="15"/>
      <c r="K324" s="15"/>
      <c r="L324" s="15"/>
    </row>
    <row r="325" spans="1:12" ht="15.75" customHeight="1">
      <c r="A325" s="7"/>
      <c r="J325" s="15"/>
      <c r="K325" s="15"/>
      <c r="L325" s="15"/>
    </row>
    <row r="326" spans="1:12" ht="15.75" customHeight="1">
      <c r="A326" s="7"/>
      <c r="J326" s="15"/>
      <c r="K326" s="15"/>
      <c r="L326" s="15"/>
    </row>
    <row r="327" spans="1:12" ht="15.75" customHeight="1">
      <c r="A327" s="7"/>
      <c r="J327" s="15"/>
      <c r="K327" s="15"/>
      <c r="L327" s="15"/>
    </row>
    <row r="328" spans="1:12" ht="15.75" customHeight="1">
      <c r="A328" s="7"/>
      <c r="J328" s="15"/>
      <c r="K328" s="15"/>
      <c r="L328" s="15"/>
    </row>
    <row r="329" spans="1:12" ht="15.75" customHeight="1">
      <c r="A329" s="7"/>
      <c r="J329" s="15"/>
      <c r="K329" s="15"/>
      <c r="L329" s="15"/>
    </row>
    <row r="330" spans="1:12" ht="15.75" customHeight="1">
      <c r="A330" s="7"/>
      <c r="J330" s="15"/>
      <c r="K330" s="15"/>
      <c r="L330" s="15"/>
    </row>
    <row r="331" spans="1:12" ht="15.75" customHeight="1">
      <c r="A331" s="7"/>
      <c r="J331" s="15"/>
      <c r="K331" s="15"/>
      <c r="L331" s="15"/>
    </row>
    <row r="332" spans="1:12" ht="15.75" customHeight="1">
      <c r="A332" s="7"/>
      <c r="J332" s="15"/>
      <c r="K332" s="15"/>
      <c r="L332" s="15"/>
    </row>
    <row r="333" spans="1:12" ht="15.75" customHeight="1">
      <c r="A333" s="7"/>
      <c r="J333" s="15"/>
      <c r="K333" s="15"/>
      <c r="L333" s="15"/>
    </row>
    <row r="334" spans="1:12" ht="15.75" customHeight="1">
      <c r="A334" s="7"/>
      <c r="J334" s="15"/>
      <c r="K334" s="15"/>
      <c r="L334" s="15"/>
    </row>
    <row r="335" spans="1:12" ht="15.75" customHeight="1">
      <c r="A335" s="7"/>
      <c r="J335" s="15"/>
      <c r="K335" s="15"/>
      <c r="L335" s="15"/>
    </row>
    <row r="336" spans="1:12" ht="15.75" customHeight="1">
      <c r="A336" s="7"/>
      <c r="J336" s="15"/>
      <c r="K336" s="15"/>
      <c r="L336" s="15"/>
    </row>
    <row r="337" spans="1:12" ht="15.75" customHeight="1">
      <c r="A337" s="7"/>
      <c r="J337" s="15"/>
      <c r="K337" s="15"/>
      <c r="L337" s="15"/>
    </row>
    <row r="338" spans="1:12" ht="15.75" customHeight="1">
      <c r="A338" s="7"/>
      <c r="J338" s="15"/>
      <c r="K338" s="15"/>
      <c r="L338" s="15"/>
    </row>
    <row r="339" spans="1:12" ht="15.75" customHeight="1">
      <c r="A339" s="7"/>
      <c r="J339" s="15"/>
      <c r="K339" s="15"/>
      <c r="L339" s="15"/>
    </row>
    <row r="340" spans="1:12" ht="15.75" customHeight="1">
      <c r="A340" s="7"/>
      <c r="J340" s="15"/>
      <c r="K340" s="15"/>
      <c r="L340" s="15"/>
    </row>
    <row r="341" spans="1:12" ht="15.75" customHeight="1">
      <c r="A341" s="7"/>
      <c r="J341" s="15"/>
      <c r="K341" s="15"/>
      <c r="L341" s="15"/>
    </row>
    <row r="342" spans="1:12" ht="15.75" customHeight="1">
      <c r="A342" s="7"/>
      <c r="J342" s="15"/>
      <c r="K342" s="15"/>
      <c r="L342" s="15"/>
    </row>
    <row r="343" spans="1:12" ht="15.75" customHeight="1">
      <c r="A343" s="7"/>
      <c r="J343" s="15"/>
      <c r="K343" s="15"/>
      <c r="L343" s="15"/>
    </row>
    <row r="344" spans="1:12" ht="15.75" customHeight="1">
      <c r="A344" s="7"/>
      <c r="J344" s="15"/>
      <c r="K344" s="15"/>
      <c r="L344" s="15"/>
    </row>
    <row r="345" spans="1:12" ht="15.75" customHeight="1">
      <c r="A345" s="7"/>
      <c r="J345" s="15"/>
      <c r="K345" s="15"/>
      <c r="L345" s="15"/>
    </row>
    <row r="346" spans="1:12" ht="15.75" customHeight="1">
      <c r="A346" s="7"/>
      <c r="J346" s="15"/>
      <c r="K346" s="15"/>
      <c r="L346" s="15"/>
    </row>
    <row r="347" spans="1:12" ht="15.75" customHeight="1">
      <c r="A347" s="7"/>
      <c r="J347" s="15"/>
      <c r="K347" s="15"/>
      <c r="L347" s="15"/>
    </row>
    <row r="348" spans="1:12" ht="15.75" customHeight="1">
      <c r="A348" s="7"/>
      <c r="J348" s="15"/>
      <c r="K348" s="15"/>
      <c r="L348" s="15"/>
    </row>
    <row r="349" spans="1:12" ht="15.75" customHeight="1">
      <c r="A349" s="7"/>
      <c r="J349" s="15"/>
      <c r="K349" s="15"/>
      <c r="L349" s="15"/>
    </row>
    <row r="350" spans="1:12" ht="15.75" customHeight="1">
      <c r="A350" s="7"/>
      <c r="J350" s="15"/>
      <c r="K350" s="15"/>
      <c r="L350" s="15"/>
    </row>
    <row r="351" spans="1:12" ht="15.75" customHeight="1">
      <c r="A351" s="7"/>
      <c r="J351" s="15"/>
      <c r="K351" s="15"/>
      <c r="L351" s="15"/>
    </row>
    <row r="352" spans="1:12" ht="15.75" customHeight="1">
      <c r="A352" s="7"/>
      <c r="J352" s="15"/>
      <c r="K352" s="15"/>
      <c r="L352" s="15"/>
    </row>
    <row r="353" spans="1:12" ht="15.75" customHeight="1">
      <c r="A353" s="7"/>
      <c r="J353" s="15"/>
      <c r="K353" s="15"/>
      <c r="L353" s="15"/>
    </row>
    <row r="354" spans="1:12" ht="15.75" customHeight="1">
      <c r="A354" s="7"/>
      <c r="J354" s="15"/>
      <c r="K354" s="15"/>
      <c r="L354" s="15"/>
    </row>
    <row r="355" spans="1:12" ht="15.75" customHeight="1">
      <c r="A355" s="7"/>
      <c r="J355" s="15"/>
      <c r="K355" s="15"/>
      <c r="L355" s="15"/>
    </row>
    <row r="356" spans="1:12" ht="15.75" customHeight="1">
      <c r="A356" s="7"/>
      <c r="J356" s="15"/>
      <c r="K356" s="15"/>
      <c r="L356" s="15"/>
    </row>
    <row r="357" spans="1:12" ht="15.75" customHeight="1">
      <c r="A357" s="7"/>
      <c r="J357" s="15"/>
      <c r="K357" s="15"/>
      <c r="L357" s="15"/>
    </row>
    <row r="358" spans="1:12" ht="15.75" customHeight="1">
      <c r="A358" s="7"/>
      <c r="J358" s="15"/>
      <c r="K358" s="15"/>
      <c r="L358" s="15"/>
    </row>
    <row r="359" spans="1:12" ht="15.75" customHeight="1">
      <c r="A359" s="7"/>
      <c r="J359" s="15"/>
      <c r="K359" s="15"/>
      <c r="L359" s="15"/>
    </row>
    <row r="360" spans="1:12" ht="15.75" customHeight="1">
      <c r="A360" s="7"/>
      <c r="J360" s="15"/>
      <c r="K360" s="15"/>
      <c r="L360" s="15"/>
    </row>
    <row r="361" spans="1:12" ht="15.75" customHeight="1">
      <c r="A361" s="7"/>
      <c r="J361" s="15"/>
      <c r="K361" s="15"/>
      <c r="L361" s="15"/>
    </row>
    <row r="362" spans="1:12" ht="15.75" customHeight="1">
      <c r="A362" s="7"/>
      <c r="J362" s="15"/>
      <c r="K362" s="15"/>
      <c r="L362" s="15"/>
    </row>
    <row r="363" spans="1:12" ht="15.75" customHeight="1">
      <c r="A363" s="7"/>
      <c r="J363" s="15"/>
      <c r="K363" s="15"/>
      <c r="L363" s="15"/>
    </row>
    <row r="364" spans="1:12" ht="15.75" customHeight="1">
      <c r="A364" s="7"/>
      <c r="J364" s="15"/>
      <c r="K364" s="15"/>
      <c r="L364" s="15"/>
    </row>
    <row r="365" spans="1:12" ht="15.75" customHeight="1">
      <c r="A365" s="7"/>
      <c r="J365" s="15"/>
      <c r="K365" s="15"/>
      <c r="L365" s="15"/>
    </row>
    <row r="366" spans="1:12" ht="15.75" customHeight="1">
      <c r="A366" s="7"/>
      <c r="J366" s="15"/>
      <c r="K366" s="15"/>
      <c r="L366" s="15"/>
    </row>
    <row r="367" spans="1:12" ht="15.75" customHeight="1">
      <c r="A367" s="7"/>
      <c r="J367" s="15"/>
      <c r="K367" s="15"/>
      <c r="L367" s="15"/>
    </row>
    <row r="368" spans="1:12" ht="15.75" customHeight="1">
      <c r="A368" s="7"/>
      <c r="J368" s="15"/>
      <c r="K368" s="15"/>
      <c r="L368" s="15"/>
    </row>
    <row r="369" spans="1:12" ht="15.75" customHeight="1">
      <c r="A369" s="7"/>
      <c r="J369" s="15"/>
      <c r="K369" s="15"/>
      <c r="L369" s="15"/>
    </row>
    <row r="370" spans="1:12" ht="15.75" customHeight="1">
      <c r="A370" s="7"/>
      <c r="J370" s="15"/>
      <c r="K370" s="15"/>
      <c r="L370" s="15"/>
    </row>
    <row r="371" spans="1:12" ht="15.75" customHeight="1">
      <c r="A371" s="7"/>
      <c r="J371" s="15"/>
      <c r="K371" s="15"/>
      <c r="L371" s="15"/>
    </row>
    <row r="372" spans="1:12" ht="15.75" customHeight="1">
      <c r="A372" s="7"/>
      <c r="J372" s="15"/>
      <c r="K372" s="15"/>
      <c r="L372" s="15"/>
    </row>
    <row r="373" spans="1:12" ht="15.75" customHeight="1">
      <c r="A373" s="7"/>
      <c r="J373" s="15"/>
      <c r="K373" s="15"/>
      <c r="L373" s="15"/>
    </row>
    <row r="374" spans="1:12" ht="15.75" customHeight="1">
      <c r="A374" s="7"/>
      <c r="J374" s="15"/>
      <c r="K374" s="15"/>
      <c r="L374" s="15"/>
    </row>
    <row r="375" spans="1:12" ht="15.75" customHeight="1">
      <c r="A375" s="7"/>
      <c r="J375" s="15"/>
      <c r="K375" s="15"/>
      <c r="L375" s="15"/>
    </row>
    <row r="376" spans="1:12" ht="15.75" customHeight="1">
      <c r="A376" s="7"/>
      <c r="J376" s="15"/>
      <c r="K376" s="15"/>
      <c r="L376" s="15"/>
    </row>
    <row r="377" spans="1:12" ht="15.75" customHeight="1">
      <c r="A377" s="7"/>
      <c r="J377" s="15"/>
      <c r="K377" s="15"/>
      <c r="L377" s="15"/>
    </row>
    <row r="378" spans="1:12" ht="15.75" customHeight="1">
      <c r="A378" s="7"/>
      <c r="J378" s="15"/>
      <c r="K378" s="15"/>
      <c r="L378" s="15"/>
    </row>
    <row r="379" spans="1:12" ht="15.75" customHeight="1">
      <c r="A379" s="7"/>
      <c r="J379" s="15"/>
      <c r="K379" s="15"/>
      <c r="L379" s="15"/>
    </row>
    <row r="380" spans="1:12" ht="15.75" customHeight="1">
      <c r="A380" s="7"/>
      <c r="J380" s="15"/>
      <c r="K380" s="15"/>
      <c r="L380" s="15"/>
    </row>
    <row r="381" spans="1:12" ht="15.75" customHeight="1">
      <c r="A381" s="7"/>
      <c r="J381" s="15"/>
      <c r="K381" s="15"/>
      <c r="L381" s="15"/>
    </row>
    <row r="382" spans="1:12" ht="15.75" customHeight="1">
      <c r="A382" s="7"/>
      <c r="J382" s="15"/>
      <c r="K382" s="15"/>
      <c r="L382" s="15"/>
    </row>
    <row r="383" spans="1:12" ht="15.75" customHeight="1">
      <c r="A383" s="7"/>
      <c r="J383" s="15"/>
      <c r="K383" s="15"/>
      <c r="L383" s="15"/>
    </row>
    <row r="384" spans="1:12" ht="15.75" customHeight="1">
      <c r="A384" s="7"/>
      <c r="J384" s="15"/>
      <c r="K384" s="15"/>
      <c r="L384" s="15"/>
    </row>
    <row r="385" spans="1:12" ht="15.75" customHeight="1">
      <c r="A385" s="7"/>
      <c r="J385" s="15"/>
      <c r="K385" s="15"/>
      <c r="L385" s="15"/>
    </row>
    <row r="386" spans="1:12" ht="15.75" customHeight="1">
      <c r="A386" s="7"/>
      <c r="J386" s="15"/>
      <c r="K386" s="15"/>
      <c r="L386" s="15"/>
    </row>
    <row r="387" spans="1:12" ht="15.75" customHeight="1">
      <c r="A387" s="7"/>
      <c r="J387" s="15"/>
      <c r="K387" s="15"/>
      <c r="L387" s="15"/>
    </row>
    <row r="388" spans="1:12" ht="15.75" customHeight="1">
      <c r="A388" s="7"/>
      <c r="J388" s="15"/>
      <c r="K388" s="15"/>
      <c r="L388" s="15"/>
    </row>
    <row r="389" spans="1:12" ht="15.75" customHeight="1">
      <c r="A389" s="7"/>
      <c r="J389" s="15"/>
      <c r="K389" s="15"/>
      <c r="L389" s="15"/>
    </row>
    <row r="390" spans="1:12" ht="15.75" customHeight="1">
      <c r="A390" s="7"/>
      <c r="J390" s="15"/>
      <c r="K390" s="15"/>
      <c r="L390" s="15"/>
    </row>
    <row r="391" spans="1:12" ht="15.75" customHeight="1">
      <c r="A391" s="7"/>
      <c r="J391" s="15"/>
      <c r="K391" s="15"/>
      <c r="L391" s="15"/>
    </row>
    <row r="392" spans="1:12" ht="15.75" customHeight="1">
      <c r="A392" s="7"/>
      <c r="J392" s="15"/>
      <c r="K392" s="15"/>
      <c r="L392" s="15"/>
    </row>
    <row r="393" spans="1:12" ht="15.75" customHeight="1">
      <c r="A393" s="7"/>
      <c r="J393" s="15"/>
      <c r="K393" s="15"/>
      <c r="L393" s="15"/>
    </row>
    <row r="394" spans="1:12" ht="15.75" customHeight="1">
      <c r="A394" s="7"/>
      <c r="J394" s="15"/>
      <c r="K394" s="15"/>
      <c r="L394" s="15"/>
    </row>
    <row r="395" spans="1:12" ht="15.75" customHeight="1">
      <c r="A395" s="7"/>
      <c r="J395" s="15"/>
      <c r="K395" s="15"/>
      <c r="L395" s="15"/>
    </row>
    <row r="396" spans="1:12" ht="15.75" customHeight="1">
      <c r="A396" s="7"/>
      <c r="J396" s="15"/>
      <c r="K396" s="15"/>
      <c r="L396" s="15"/>
    </row>
    <row r="397" spans="1:12" ht="15.75" customHeight="1">
      <c r="A397" s="7"/>
      <c r="J397" s="15"/>
      <c r="K397" s="15"/>
      <c r="L397" s="15"/>
    </row>
    <row r="398" spans="1:12" ht="15.75" customHeight="1">
      <c r="A398" s="7"/>
      <c r="J398" s="15"/>
      <c r="K398" s="15"/>
      <c r="L398" s="15"/>
    </row>
    <row r="399" spans="1:12" ht="15.75" customHeight="1">
      <c r="A399" s="7"/>
      <c r="J399" s="15"/>
      <c r="K399" s="15"/>
      <c r="L399" s="15"/>
    </row>
    <row r="400" spans="1:12" ht="15.75" customHeight="1">
      <c r="A400" s="7"/>
      <c r="J400" s="15"/>
      <c r="K400" s="15"/>
      <c r="L400" s="15"/>
    </row>
    <row r="401" spans="1:12" ht="15.75" customHeight="1">
      <c r="A401" s="7"/>
      <c r="J401" s="15"/>
      <c r="K401" s="15"/>
      <c r="L401" s="15"/>
    </row>
    <row r="402" spans="1:12" ht="15.75" customHeight="1">
      <c r="A402" s="7"/>
      <c r="J402" s="15"/>
      <c r="K402" s="15"/>
      <c r="L402" s="15"/>
    </row>
    <row r="403" spans="1:12" ht="15.75" customHeight="1">
      <c r="A403" s="7"/>
      <c r="J403" s="15"/>
      <c r="K403" s="15"/>
      <c r="L403" s="15"/>
    </row>
    <row r="404" spans="1:12" ht="15.75" customHeight="1">
      <c r="A404" s="7"/>
      <c r="J404" s="15"/>
      <c r="K404" s="15"/>
      <c r="L404" s="15"/>
    </row>
    <row r="405" spans="1:12" ht="15.75" customHeight="1">
      <c r="A405" s="7"/>
      <c r="J405" s="15"/>
      <c r="K405" s="15"/>
      <c r="L405" s="15"/>
    </row>
    <row r="406" spans="1:12" ht="15.75" customHeight="1">
      <c r="A406" s="7"/>
      <c r="J406" s="15"/>
      <c r="K406" s="15"/>
      <c r="L406" s="15"/>
    </row>
    <row r="407" spans="1:12" ht="15.75" customHeight="1">
      <c r="A407" s="7"/>
      <c r="J407" s="15"/>
      <c r="K407" s="15"/>
      <c r="L407" s="15"/>
    </row>
    <row r="408" spans="1:12" ht="15.75" customHeight="1">
      <c r="A408" s="7"/>
      <c r="J408" s="15"/>
      <c r="K408" s="15"/>
      <c r="L408" s="15"/>
    </row>
    <row r="409" spans="1:12" ht="15.75" customHeight="1">
      <c r="A409" s="7"/>
      <c r="J409" s="15"/>
      <c r="K409" s="15"/>
      <c r="L409" s="15"/>
    </row>
    <row r="410" spans="1:12" ht="15.75" customHeight="1">
      <c r="A410" s="7"/>
      <c r="J410" s="15"/>
      <c r="K410" s="15"/>
      <c r="L410" s="15"/>
    </row>
    <row r="411" spans="1:12" ht="15.75" customHeight="1">
      <c r="A411" s="7"/>
      <c r="J411" s="15"/>
      <c r="K411" s="15"/>
      <c r="L411" s="15"/>
    </row>
    <row r="412" spans="1:12" ht="15.75" customHeight="1">
      <c r="A412" s="7"/>
      <c r="J412" s="15"/>
      <c r="K412" s="15"/>
      <c r="L412" s="15"/>
    </row>
    <row r="413" spans="1:12" ht="15.75" customHeight="1">
      <c r="A413" s="7"/>
      <c r="J413" s="15"/>
      <c r="K413" s="15"/>
      <c r="L413" s="15"/>
    </row>
    <row r="414" spans="1:12" ht="15.75" customHeight="1">
      <c r="A414" s="7"/>
      <c r="J414" s="15"/>
      <c r="K414" s="15"/>
      <c r="L414" s="15"/>
    </row>
    <row r="415" spans="1:12" ht="15.75" customHeight="1">
      <c r="A415" s="7"/>
      <c r="J415" s="15"/>
      <c r="K415" s="15"/>
      <c r="L415" s="15"/>
    </row>
    <row r="416" spans="1:12" ht="15.75" customHeight="1">
      <c r="A416" s="7"/>
      <c r="J416" s="15"/>
      <c r="K416" s="15"/>
      <c r="L416" s="15"/>
    </row>
    <row r="417" spans="1:12" ht="15.75" customHeight="1">
      <c r="A417" s="7"/>
      <c r="J417" s="15"/>
      <c r="K417" s="15"/>
      <c r="L417" s="15"/>
    </row>
    <row r="418" spans="1:12" ht="15.75" customHeight="1">
      <c r="A418" s="7"/>
      <c r="J418" s="15"/>
      <c r="K418" s="15"/>
      <c r="L418" s="15"/>
    </row>
    <row r="419" spans="1:12" ht="15.75" customHeight="1">
      <c r="A419" s="7"/>
      <c r="J419" s="15"/>
      <c r="K419" s="15"/>
      <c r="L419" s="15"/>
    </row>
    <row r="420" spans="1:12" ht="15.75" customHeight="1">
      <c r="A420" s="7"/>
      <c r="J420" s="15"/>
      <c r="K420" s="15"/>
      <c r="L420" s="15"/>
    </row>
    <row r="421" spans="1:12" ht="15.75" customHeight="1">
      <c r="A421" s="7"/>
      <c r="J421" s="15"/>
      <c r="K421" s="15"/>
      <c r="L421" s="15"/>
    </row>
    <row r="422" spans="1:12" ht="15.75" customHeight="1">
      <c r="A422" s="7"/>
      <c r="J422" s="15"/>
      <c r="K422" s="15"/>
      <c r="L422" s="15"/>
    </row>
    <row r="423" spans="1:12" ht="15.75" customHeight="1">
      <c r="A423" s="7"/>
      <c r="J423" s="15"/>
      <c r="K423" s="15"/>
      <c r="L423" s="15"/>
    </row>
    <row r="424" spans="1:12" ht="15.75" customHeight="1">
      <c r="A424" s="7"/>
      <c r="J424" s="15"/>
      <c r="K424" s="15"/>
      <c r="L424" s="15"/>
    </row>
    <row r="425" spans="1:12" ht="15.75" customHeight="1">
      <c r="A425" s="7"/>
      <c r="J425" s="15"/>
      <c r="K425" s="15"/>
      <c r="L425" s="15"/>
    </row>
    <row r="426" spans="1:12" ht="15.75" customHeight="1">
      <c r="A426" s="7"/>
      <c r="J426" s="15"/>
      <c r="K426" s="15"/>
      <c r="L426" s="15"/>
    </row>
    <row r="427" spans="1:12" ht="15.75" customHeight="1">
      <c r="A427" s="7"/>
      <c r="J427" s="15"/>
      <c r="K427" s="15"/>
      <c r="L427" s="15"/>
    </row>
    <row r="428" spans="1:12" ht="15.75" customHeight="1">
      <c r="A428" s="7"/>
      <c r="J428" s="15"/>
      <c r="K428" s="15"/>
      <c r="L428" s="15"/>
    </row>
    <row r="429" spans="1:12" ht="15.75" customHeight="1">
      <c r="A429" s="7"/>
      <c r="J429" s="15"/>
      <c r="K429" s="15"/>
      <c r="L429" s="15"/>
    </row>
    <row r="430" spans="1:12" ht="15.75" customHeight="1">
      <c r="A430" s="7"/>
      <c r="J430" s="15"/>
      <c r="K430" s="15"/>
      <c r="L430" s="15"/>
    </row>
    <row r="431" spans="1:12" ht="15.75" customHeight="1">
      <c r="A431" s="7"/>
      <c r="J431" s="15"/>
      <c r="K431" s="15"/>
      <c r="L431" s="15"/>
    </row>
    <row r="432" spans="1:12" ht="15.75" customHeight="1">
      <c r="A432" s="7"/>
      <c r="J432" s="15"/>
      <c r="K432" s="15"/>
      <c r="L432" s="15"/>
    </row>
    <row r="433" spans="1:12" ht="15.75" customHeight="1">
      <c r="A433" s="7"/>
      <c r="J433" s="15"/>
      <c r="K433" s="15"/>
      <c r="L433" s="15"/>
    </row>
    <row r="434" spans="1:12" ht="15.75" customHeight="1">
      <c r="A434" s="7"/>
      <c r="J434" s="15"/>
      <c r="K434" s="15"/>
      <c r="L434" s="15"/>
    </row>
    <row r="435" spans="1:12" ht="15.75" customHeight="1">
      <c r="A435" s="7"/>
      <c r="J435" s="15"/>
      <c r="K435" s="15"/>
      <c r="L435" s="15"/>
    </row>
    <row r="436" spans="1:12" ht="15.75" customHeight="1">
      <c r="A436" s="7"/>
      <c r="J436" s="15"/>
      <c r="K436" s="15"/>
      <c r="L436" s="15"/>
    </row>
    <row r="437" spans="1:12" ht="15.75" customHeight="1">
      <c r="A437" s="7"/>
      <c r="J437" s="15"/>
      <c r="K437" s="15"/>
      <c r="L437" s="15"/>
    </row>
    <row r="438" spans="1:12" ht="15.75" customHeight="1">
      <c r="A438" s="7"/>
      <c r="J438" s="15"/>
      <c r="K438" s="15"/>
      <c r="L438" s="15"/>
    </row>
    <row r="439" spans="1:12" ht="15.75" customHeight="1">
      <c r="A439" s="7"/>
      <c r="J439" s="15"/>
      <c r="K439" s="15"/>
      <c r="L439" s="15"/>
    </row>
    <row r="440" spans="1:12" ht="15.75" customHeight="1">
      <c r="A440" s="7"/>
      <c r="J440" s="15"/>
      <c r="K440" s="15"/>
      <c r="L440" s="15"/>
    </row>
    <row r="441" spans="1:12" ht="15.75" customHeight="1">
      <c r="A441" s="7"/>
      <c r="J441" s="15"/>
      <c r="K441" s="15"/>
      <c r="L441" s="15"/>
    </row>
    <row r="442" spans="1:12" ht="15.75" customHeight="1">
      <c r="A442" s="7"/>
      <c r="J442" s="15"/>
      <c r="K442" s="15"/>
      <c r="L442" s="15"/>
    </row>
    <row r="443" spans="1:12" ht="15.75" customHeight="1">
      <c r="A443" s="7"/>
      <c r="J443" s="15"/>
      <c r="K443" s="15"/>
      <c r="L443" s="15"/>
    </row>
    <row r="444" spans="1:12" ht="15.75" customHeight="1">
      <c r="A444" s="7"/>
      <c r="J444" s="15"/>
      <c r="K444" s="15"/>
      <c r="L444" s="15"/>
    </row>
    <row r="445" spans="1:12" ht="15.75" customHeight="1">
      <c r="A445" s="7"/>
      <c r="J445" s="15"/>
      <c r="K445" s="15"/>
      <c r="L445" s="15"/>
    </row>
    <row r="446" spans="1:12" ht="15.75" customHeight="1">
      <c r="A446" s="7"/>
      <c r="J446" s="15"/>
      <c r="K446" s="15"/>
      <c r="L446" s="15"/>
    </row>
    <row r="447" spans="1:12" ht="15.75" customHeight="1">
      <c r="A447" s="7"/>
      <c r="J447" s="15"/>
      <c r="K447" s="15"/>
      <c r="L447" s="15"/>
    </row>
    <row r="448" spans="1:12" ht="15.75" customHeight="1">
      <c r="A448" s="7"/>
      <c r="J448" s="15"/>
      <c r="K448" s="15"/>
      <c r="L448" s="15"/>
    </row>
    <row r="449" spans="1:12" ht="15.75" customHeight="1">
      <c r="A449" s="7"/>
      <c r="J449" s="15"/>
      <c r="K449" s="15"/>
      <c r="L449" s="15"/>
    </row>
    <row r="450" spans="1:12" ht="15.75" customHeight="1">
      <c r="A450" s="7"/>
      <c r="J450" s="15"/>
      <c r="K450" s="15"/>
      <c r="L450" s="15"/>
    </row>
    <row r="451" spans="1:12" ht="15.75" customHeight="1">
      <c r="A451" s="7"/>
      <c r="J451" s="15"/>
      <c r="K451" s="15"/>
      <c r="L451" s="15"/>
    </row>
    <row r="452" spans="1:12" ht="15.75" customHeight="1">
      <c r="A452" s="7"/>
      <c r="J452" s="15"/>
      <c r="K452" s="15"/>
      <c r="L452" s="15"/>
    </row>
    <row r="453" spans="1:12" ht="15.75" customHeight="1">
      <c r="A453" s="7"/>
      <c r="J453" s="15"/>
      <c r="K453" s="15"/>
      <c r="L453" s="15"/>
    </row>
    <row r="454" spans="1:12" ht="15.75" customHeight="1">
      <c r="A454" s="7"/>
      <c r="J454" s="15"/>
      <c r="K454" s="15"/>
      <c r="L454" s="15"/>
    </row>
    <row r="455" spans="1:12" ht="15.75" customHeight="1">
      <c r="A455" s="7"/>
      <c r="J455" s="15"/>
      <c r="K455" s="15"/>
      <c r="L455" s="15"/>
    </row>
    <row r="456" spans="1:12" ht="15.75" customHeight="1">
      <c r="A456" s="7"/>
      <c r="J456" s="15"/>
      <c r="K456" s="15"/>
      <c r="L456" s="15"/>
    </row>
    <row r="457" spans="1:12" ht="15.75" customHeight="1">
      <c r="A457" s="7"/>
      <c r="J457" s="15"/>
      <c r="K457" s="15"/>
      <c r="L457" s="15"/>
    </row>
    <row r="458" spans="1:12" ht="15.75" customHeight="1">
      <c r="A458" s="7"/>
      <c r="J458" s="15"/>
      <c r="K458" s="15"/>
      <c r="L458" s="15"/>
    </row>
    <row r="459" spans="1:12" ht="15.75" customHeight="1">
      <c r="A459" s="7"/>
      <c r="J459" s="15"/>
      <c r="K459" s="15"/>
      <c r="L459" s="15"/>
    </row>
    <row r="460" spans="1:12" ht="15.75" customHeight="1">
      <c r="A460" s="7"/>
      <c r="J460" s="15"/>
      <c r="K460" s="15"/>
      <c r="L460" s="15"/>
    </row>
    <row r="461" spans="1:12" ht="15.75" customHeight="1">
      <c r="A461" s="7"/>
      <c r="J461" s="15"/>
      <c r="K461" s="15"/>
      <c r="L461" s="15"/>
    </row>
    <row r="462" spans="1:12" ht="15.75" customHeight="1">
      <c r="A462" s="7"/>
      <c r="J462" s="15"/>
      <c r="K462" s="15"/>
      <c r="L462" s="15"/>
    </row>
    <row r="463" spans="1:12" ht="15.75" customHeight="1">
      <c r="A463" s="7"/>
      <c r="J463" s="15"/>
      <c r="K463" s="15"/>
      <c r="L463" s="15"/>
    </row>
    <row r="464" spans="1:12" ht="15.75" customHeight="1">
      <c r="A464" s="7"/>
      <c r="J464" s="15"/>
      <c r="K464" s="15"/>
      <c r="L464" s="15"/>
    </row>
    <row r="465" spans="1:12" ht="15.75" customHeight="1">
      <c r="A465" s="7"/>
      <c r="J465" s="15"/>
      <c r="K465" s="15"/>
      <c r="L465" s="15"/>
    </row>
    <row r="466" spans="1:12" ht="15.75" customHeight="1">
      <c r="A466" s="7"/>
      <c r="J466" s="15"/>
      <c r="K466" s="15"/>
      <c r="L466" s="15"/>
    </row>
    <row r="467" spans="1:12" ht="15.75" customHeight="1">
      <c r="A467" s="7"/>
      <c r="J467" s="15"/>
      <c r="K467" s="15"/>
      <c r="L467" s="15"/>
    </row>
    <row r="468" spans="1:12" ht="15.75" customHeight="1">
      <c r="A468" s="7"/>
      <c r="J468" s="15"/>
      <c r="K468" s="15"/>
      <c r="L468" s="15"/>
    </row>
    <row r="469" spans="1:12" ht="15.75" customHeight="1">
      <c r="A469" s="7"/>
      <c r="J469" s="15"/>
      <c r="K469" s="15"/>
      <c r="L469" s="15"/>
    </row>
    <row r="470" spans="1:12" ht="15.75" customHeight="1">
      <c r="A470" s="7"/>
      <c r="J470" s="15"/>
      <c r="K470" s="15"/>
      <c r="L470" s="15"/>
    </row>
    <row r="471" spans="1:12" ht="15.75" customHeight="1">
      <c r="A471" s="7"/>
      <c r="J471" s="15"/>
      <c r="K471" s="15"/>
      <c r="L471" s="15"/>
    </row>
    <row r="472" spans="1:12" ht="15.75" customHeight="1">
      <c r="A472" s="7"/>
      <c r="J472" s="15"/>
      <c r="K472" s="15"/>
      <c r="L472" s="15"/>
    </row>
    <row r="473" spans="1:12" ht="15.75" customHeight="1">
      <c r="A473" s="7"/>
      <c r="J473" s="15"/>
      <c r="K473" s="15"/>
      <c r="L473" s="15"/>
    </row>
    <row r="474" spans="1:12" ht="15.75" customHeight="1">
      <c r="A474" s="7"/>
      <c r="J474" s="15"/>
      <c r="K474" s="15"/>
      <c r="L474" s="15"/>
    </row>
    <row r="475" spans="1:12" ht="15.75" customHeight="1">
      <c r="A475" s="7"/>
      <c r="J475" s="15"/>
      <c r="K475" s="15"/>
      <c r="L475" s="15"/>
    </row>
    <row r="476" spans="1:12" ht="15.75" customHeight="1">
      <c r="A476" s="7"/>
      <c r="J476" s="15"/>
      <c r="K476" s="15"/>
      <c r="L476" s="15"/>
    </row>
    <row r="477" spans="1:12" ht="15.75" customHeight="1">
      <c r="A477" s="7"/>
      <c r="J477" s="15"/>
      <c r="K477" s="15"/>
      <c r="L477" s="15"/>
    </row>
    <row r="478" spans="1:12" ht="15.75" customHeight="1">
      <c r="A478" s="7"/>
      <c r="J478" s="15"/>
      <c r="K478" s="15"/>
      <c r="L478" s="15"/>
    </row>
    <row r="479" spans="1:12" ht="15.75" customHeight="1">
      <c r="A479" s="7"/>
      <c r="J479" s="15"/>
      <c r="K479" s="15"/>
      <c r="L479" s="15"/>
    </row>
    <row r="480" spans="1:12" ht="15.75" customHeight="1">
      <c r="A480" s="7"/>
      <c r="J480" s="15"/>
      <c r="K480" s="15"/>
      <c r="L480" s="15"/>
    </row>
    <row r="481" spans="1:12" ht="15.75" customHeight="1">
      <c r="A481" s="7"/>
      <c r="J481" s="15"/>
      <c r="K481" s="15"/>
      <c r="L481" s="15"/>
    </row>
    <row r="482" spans="1:12" ht="15.75" customHeight="1">
      <c r="A482" s="7"/>
      <c r="J482" s="15"/>
      <c r="K482" s="15"/>
      <c r="L482" s="15"/>
    </row>
    <row r="483" spans="1:12" ht="15.75" customHeight="1">
      <c r="A483" s="7"/>
      <c r="J483" s="15"/>
      <c r="K483" s="15"/>
      <c r="L483" s="15"/>
    </row>
    <row r="484" spans="1:12" ht="15.75" customHeight="1">
      <c r="A484" s="7"/>
      <c r="J484" s="15"/>
      <c r="K484" s="15"/>
      <c r="L484" s="15"/>
    </row>
    <row r="485" spans="1:12" ht="15.75" customHeight="1">
      <c r="A485" s="7"/>
      <c r="J485" s="15"/>
      <c r="K485" s="15"/>
      <c r="L485" s="15"/>
    </row>
    <row r="486" spans="1:12" ht="15.75" customHeight="1">
      <c r="A486" s="7"/>
      <c r="J486" s="15"/>
      <c r="K486" s="15"/>
      <c r="L486" s="15"/>
    </row>
    <row r="487" spans="1:12" ht="15.75" customHeight="1">
      <c r="A487" s="7"/>
      <c r="J487" s="15"/>
      <c r="K487" s="15"/>
      <c r="L487" s="15"/>
    </row>
    <row r="488" spans="1:12" ht="15.75" customHeight="1">
      <c r="A488" s="7"/>
      <c r="J488" s="15"/>
      <c r="K488" s="15"/>
      <c r="L488" s="15"/>
    </row>
    <row r="489" spans="1:12" ht="15.75" customHeight="1">
      <c r="A489" s="7"/>
      <c r="J489" s="15"/>
      <c r="K489" s="15"/>
      <c r="L489" s="15"/>
    </row>
    <row r="490" spans="1:12" ht="15.75" customHeight="1">
      <c r="A490" s="7"/>
      <c r="J490" s="15"/>
      <c r="K490" s="15"/>
      <c r="L490" s="15"/>
    </row>
    <row r="491" spans="1:12" ht="15.75" customHeight="1">
      <c r="A491" s="7"/>
      <c r="J491" s="15"/>
      <c r="K491" s="15"/>
      <c r="L491" s="15"/>
    </row>
    <row r="492" spans="1:12" ht="15.75" customHeight="1">
      <c r="A492" s="7"/>
      <c r="J492" s="15"/>
      <c r="K492" s="15"/>
      <c r="L492" s="15"/>
    </row>
    <row r="493" spans="1:12" ht="15.75" customHeight="1">
      <c r="A493" s="7"/>
      <c r="J493" s="15"/>
      <c r="K493" s="15"/>
      <c r="L493" s="15"/>
    </row>
    <row r="494" spans="1:12" ht="15.75" customHeight="1">
      <c r="A494" s="7"/>
      <c r="J494" s="15"/>
      <c r="K494" s="15"/>
      <c r="L494" s="15"/>
    </row>
    <row r="495" spans="1:12" ht="15.75" customHeight="1">
      <c r="A495" s="7"/>
      <c r="J495" s="15"/>
      <c r="K495" s="15"/>
      <c r="L495" s="15"/>
    </row>
    <row r="496" spans="1:12" ht="15.75" customHeight="1">
      <c r="A496" s="7"/>
      <c r="J496" s="15"/>
      <c r="K496" s="15"/>
      <c r="L496" s="15"/>
    </row>
    <row r="497" spans="1:12" ht="15.75" customHeight="1">
      <c r="A497" s="7"/>
      <c r="J497" s="15"/>
      <c r="K497" s="15"/>
      <c r="L497" s="15"/>
    </row>
    <row r="498" spans="1:12" ht="15.75" customHeight="1">
      <c r="A498" s="7"/>
      <c r="J498" s="15"/>
      <c r="K498" s="15"/>
      <c r="L498" s="15"/>
    </row>
    <row r="499" spans="1:12" ht="15.75" customHeight="1">
      <c r="A499" s="7"/>
      <c r="J499" s="15"/>
      <c r="K499" s="15"/>
      <c r="L499" s="15"/>
    </row>
    <row r="500" spans="1:12" ht="15.75" customHeight="1">
      <c r="A500" s="7"/>
      <c r="J500" s="15"/>
      <c r="K500" s="15"/>
      <c r="L500" s="15"/>
    </row>
    <row r="501" spans="1:12" ht="15.75" customHeight="1">
      <c r="A501" s="7"/>
      <c r="J501" s="15"/>
      <c r="K501" s="15"/>
      <c r="L501" s="15"/>
    </row>
    <row r="502" spans="1:12" ht="15.75" customHeight="1">
      <c r="A502" s="7"/>
      <c r="J502" s="15"/>
      <c r="K502" s="15"/>
      <c r="L502" s="15"/>
    </row>
    <row r="503" spans="1:12" ht="15.75" customHeight="1">
      <c r="A503" s="7"/>
      <c r="J503" s="15"/>
      <c r="K503" s="15"/>
      <c r="L503" s="15"/>
    </row>
    <row r="504" spans="1:12" ht="15.75" customHeight="1">
      <c r="A504" s="7"/>
      <c r="J504" s="15"/>
      <c r="K504" s="15"/>
      <c r="L504" s="15"/>
    </row>
    <row r="505" spans="1:12" ht="15.75" customHeight="1">
      <c r="A505" s="7"/>
      <c r="J505" s="15"/>
      <c r="K505" s="15"/>
      <c r="L505" s="15"/>
    </row>
    <row r="506" spans="1:12" ht="15.75" customHeight="1">
      <c r="A506" s="7"/>
      <c r="J506" s="15"/>
      <c r="K506" s="15"/>
      <c r="L506" s="15"/>
    </row>
    <row r="507" spans="1:12" ht="15.75" customHeight="1">
      <c r="A507" s="7"/>
      <c r="J507" s="15"/>
      <c r="K507" s="15"/>
      <c r="L507" s="15"/>
    </row>
    <row r="508" spans="1:12" ht="15.75" customHeight="1">
      <c r="A508" s="7"/>
      <c r="J508" s="15"/>
      <c r="K508" s="15"/>
      <c r="L508" s="15"/>
    </row>
    <row r="509" spans="1:12" ht="15.75" customHeight="1">
      <c r="A509" s="7"/>
      <c r="J509" s="15"/>
      <c r="K509" s="15"/>
      <c r="L509" s="15"/>
    </row>
    <row r="510" spans="1:12" ht="15.75" customHeight="1">
      <c r="A510" s="7"/>
      <c r="J510" s="15"/>
      <c r="K510" s="15"/>
      <c r="L510" s="15"/>
    </row>
    <row r="511" spans="1:12" ht="15.75" customHeight="1">
      <c r="A511" s="7"/>
      <c r="J511" s="15"/>
      <c r="K511" s="15"/>
      <c r="L511" s="15"/>
    </row>
    <row r="512" spans="1:12" ht="15.75" customHeight="1">
      <c r="A512" s="7"/>
      <c r="J512" s="15"/>
      <c r="K512" s="15"/>
      <c r="L512" s="15"/>
    </row>
    <row r="513" spans="1:12" ht="15.75" customHeight="1">
      <c r="A513" s="7"/>
      <c r="J513" s="15"/>
      <c r="K513" s="15"/>
      <c r="L513" s="15"/>
    </row>
    <row r="514" spans="1:12" ht="15.75" customHeight="1">
      <c r="A514" s="7"/>
      <c r="J514" s="15"/>
      <c r="K514" s="15"/>
      <c r="L514" s="15"/>
    </row>
    <row r="515" spans="1:12" ht="15.75" customHeight="1">
      <c r="A515" s="7"/>
      <c r="J515" s="15"/>
      <c r="K515" s="15"/>
      <c r="L515" s="15"/>
    </row>
    <row r="516" spans="1:12" ht="15.75" customHeight="1">
      <c r="A516" s="7"/>
      <c r="J516" s="15"/>
      <c r="K516" s="15"/>
      <c r="L516" s="15"/>
    </row>
    <row r="517" spans="1:12" ht="15.75" customHeight="1">
      <c r="A517" s="7"/>
      <c r="J517" s="15"/>
      <c r="K517" s="15"/>
      <c r="L517" s="15"/>
    </row>
    <row r="518" spans="1:12" ht="15.75" customHeight="1">
      <c r="A518" s="7"/>
      <c r="J518" s="15"/>
      <c r="K518" s="15"/>
      <c r="L518" s="15"/>
    </row>
    <row r="519" spans="1:12" ht="15.75" customHeight="1">
      <c r="A519" s="7"/>
      <c r="J519" s="15"/>
      <c r="K519" s="15"/>
      <c r="L519" s="15"/>
    </row>
    <row r="520" spans="1:12" ht="15.75" customHeight="1">
      <c r="A520" s="7"/>
      <c r="J520" s="15"/>
      <c r="K520" s="15"/>
      <c r="L520" s="15"/>
    </row>
    <row r="521" spans="1:12" ht="15.75" customHeight="1">
      <c r="A521" s="7"/>
      <c r="J521" s="15"/>
      <c r="K521" s="15"/>
      <c r="L521" s="15"/>
    </row>
    <row r="522" spans="1:12" ht="15.75" customHeight="1">
      <c r="A522" s="7"/>
      <c r="J522" s="15"/>
      <c r="K522" s="15"/>
      <c r="L522" s="15"/>
    </row>
    <row r="523" spans="1:12" ht="15.75" customHeight="1">
      <c r="A523" s="7"/>
      <c r="J523" s="15"/>
      <c r="K523" s="15"/>
      <c r="L523" s="15"/>
    </row>
    <row r="524" spans="1:12" ht="15.75" customHeight="1">
      <c r="A524" s="7"/>
      <c r="J524" s="15"/>
      <c r="K524" s="15"/>
      <c r="L524" s="15"/>
    </row>
    <row r="525" spans="1:12" ht="15.75" customHeight="1">
      <c r="A525" s="7"/>
      <c r="J525" s="15"/>
      <c r="K525" s="15"/>
      <c r="L525" s="15"/>
    </row>
    <row r="526" spans="1:12" ht="15.75" customHeight="1">
      <c r="A526" s="7"/>
      <c r="J526" s="15"/>
      <c r="K526" s="15"/>
      <c r="L526" s="15"/>
    </row>
    <row r="527" spans="1:12" ht="15.75" customHeight="1">
      <c r="A527" s="7"/>
      <c r="J527" s="15"/>
      <c r="K527" s="15"/>
      <c r="L527" s="15"/>
    </row>
    <row r="528" spans="1:12" ht="15.75" customHeight="1">
      <c r="A528" s="7"/>
      <c r="J528" s="15"/>
      <c r="K528" s="15"/>
      <c r="L528" s="15"/>
    </row>
    <row r="529" spans="1:12" ht="15.75" customHeight="1">
      <c r="A529" s="7"/>
      <c r="J529" s="15"/>
      <c r="K529" s="15"/>
      <c r="L529" s="15"/>
    </row>
    <row r="530" spans="1:12" ht="15.75" customHeight="1">
      <c r="A530" s="7"/>
      <c r="J530" s="15"/>
      <c r="K530" s="15"/>
      <c r="L530" s="15"/>
    </row>
    <row r="531" spans="1:12" ht="15.75" customHeight="1">
      <c r="A531" s="7"/>
      <c r="J531" s="15"/>
      <c r="K531" s="15"/>
      <c r="L531" s="15"/>
    </row>
    <row r="532" spans="1:12" ht="15.75" customHeight="1">
      <c r="A532" s="7"/>
      <c r="J532" s="15"/>
      <c r="K532" s="15"/>
      <c r="L532" s="15"/>
    </row>
    <row r="533" spans="1:12" ht="15.75" customHeight="1">
      <c r="A533" s="7"/>
      <c r="J533" s="15"/>
      <c r="K533" s="15"/>
      <c r="L533" s="15"/>
    </row>
    <row r="534" spans="1:12" ht="15.75" customHeight="1">
      <c r="A534" s="7"/>
      <c r="J534" s="15"/>
      <c r="K534" s="15"/>
      <c r="L534" s="15"/>
    </row>
    <row r="535" spans="1:12" ht="15.75" customHeight="1">
      <c r="A535" s="7"/>
      <c r="J535" s="15"/>
      <c r="K535" s="15"/>
      <c r="L535" s="15"/>
    </row>
    <row r="536" spans="1:12" ht="15.75" customHeight="1">
      <c r="A536" s="7"/>
      <c r="J536" s="15"/>
      <c r="K536" s="15"/>
      <c r="L536" s="15"/>
    </row>
    <row r="537" spans="1:12" ht="15.75" customHeight="1">
      <c r="A537" s="7"/>
      <c r="J537" s="15"/>
      <c r="K537" s="15"/>
      <c r="L537" s="15"/>
    </row>
    <row r="538" spans="1:12" ht="15.75" customHeight="1">
      <c r="A538" s="7"/>
      <c r="J538" s="15"/>
      <c r="K538" s="15"/>
      <c r="L538" s="15"/>
    </row>
    <row r="539" spans="1:12" ht="15.75" customHeight="1">
      <c r="A539" s="7"/>
      <c r="J539" s="15"/>
      <c r="K539" s="15"/>
      <c r="L539" s="15"/>
    </row>
    <row r="540" spans="1:12" ht="15.75" customHeight="1">
      <c r="A540" s="7"/>
      <c r="J540" s="15"/>
      <c r="K540" s="15"/>
      <c r="L540" s="15"/>
    </row>
    <row r="541" spans="1:12" ht="15.75" customHeight="1">
      <c r="A541" s="7"/>
      <c r="J541" s="15"/>
      <c r="K541" s="15"/>
      <c r="L541" s="15"/>
    </row>
    <row r="542" spans="1:12" ht="15.75" customHeight="1">
      <c r="A542" s="7"/>
      <c r="J542" s="15"/>
      <c r="K542" s="15"/>
      <c r="L542" s="15"/>
    </row>
    <row r="543" spans="1:12" ht="15.75" customHeight="1">
      <c r="A543" s="7"/>
      <c r="J543" s="15"/>
      <c r="K543" s="15"/>
      <c r="L543" s="15"/>
    </row>
    <row r="544" spans="1:12" ht="15.75" customHeight="1">
      <c r="A544" s="7"/>
      <c r="J544" s="15"/>
      <c r="K544" s="15"/>
      <c r="L544" s="15"/>
    </row>
    <row r="545" spans="1:12" ht="15.75" customHeight="1">
      <c r="A545" s="7"/>
      <c r="J545" s="15"/>
      <c r="K545" s="15"/>
      <c r="L545" s="15"/>
    </row>
    <row r="546" spans="1:12" ht="15.75" customHeight="1">
      <c r="A546" s="7"/>
      <c r="J546" s="15"/>
      <c r="K546" s="15"/>
      <c r="L546" s="15"/>
    </row>
    <row r="547" spans="1:12" ht="15.75" customHeight="1">
      <c r="A547" s="7"/>
      <c r="J547" s="15"/>
      <c r="K547" s="15"/>
      <c r="L547" s="15"/>
    </row>
    <row r="548" spans="1:12" ht="15.75" customHeight="1">
      <c r="A548" s="7"/>
      <c r="J548" s="15"/>
      <c r="K548" s="15"/>
      <c r="L548" s="15"/>
    </row>
    <row r="549" spans="1:12" ht="15.75" customHeight="1">
      <c r="A549" s="7"/>
      <c r="J549" s="15"/>
      <c r="K549" s="15"/>
      <c r="L549" s="15"/>
    </row>
    <row r="550" spans="1:12" ht="15.75" customHeight="1">
      <c r="A550" s="7"/>
      <c r="J550" s="15"/>
      <c r="K550" s="15"/>
      <c r="L550" s="15"/>
    </row>
    <row r="551" spans="1:12" ht="15.75" customHeight="1">
      <c r="A551" s="7"/>
      <c r="J551" s="15"/>
      <c r="K551" s="15"/>
      <c r="L551" s="15"/>
    </row>
    <row r="552" spans="1:12" ht="15.75" customHeight="1">
      <c r="A552" s="7"/>
      <c r="J552" s="15"/>
      <c r="K552" s="15"/>
      <c r="L552" s="15"/>
    </row>
    <row r="553" spans="1:12" ht="15.75" customHeight="1">
      <c r="A553" s="7"/>
      <c r="J553" s="15"/>
      <c r="K553" s="15"/>
      <c r="L553" s="15"/>
    </row>
    <row r="554" spans="1:12" ht="15.75" customHeight="1">
      <c r="A554" s="7"/>
      <c r="J554" s="15"/>
      <c r="K554" s="15"/>
      <c r="L554" s="15"/>
    </row>
    <row r="555" spans="1:12" ht="15.75" customHeight="1">
      <c r="A555" s="7"/>
      <c r="J555" s="15"/>
      <c r="K555" s="15"/>
      <c r="L555" s="15"/>
    </row>
    <row r="556" spans="1:12" ht="15.75" customHeight="1">
      <c r="A556" s="7"/>
      <c r="J556" s="15"/>
      <c r="K556" s="15"/>
      <c r="L556" s="15"/>
    </row>
    <row r="557" spans="1:12" ht="15.75" customHeight="1">
      <c r="A557" s="7"/>
      <c r="J557" s="15"/>
      <c r="K557" s="15"/>
      <c r="L557" s="15"/>
    </row>
    <row r="558" spans="1:12" ht="15.75" customHeight="1">
      <c r="A558" s="7"/>
      <c r="J558" s="15"/>
      <c r="K558" s="15"/>
      <c r="L558" s="15"/>
    </row>
    <row r="559" spans="1:12" ht="15.75" customHeight="1">
      <c r="A559" s="7"/>
      <c r="J559" s="15"/>
      <c r="K559" s="15"/>
      <c r="L559" s="15"/>
    </row>
    <row r="560" spans="1:12" ht="15.75" customHeight="1">
      <c r="A560" s="7"/>
      <c r="J560" s="15"/>
      <c r="K560" s="15"/>
      <c r="L560" s="15"/>
    </row>
    <row r="561" spans="1:12" ht="15.75" customHeight="1">
      <c r="A561" s="7"/>
      <c r="J561" s="15"/>
      <c r="K561" s="15"/>
      <c r="L561" s="15"/>
    </row>
    <row r="562" spans="1:12" ht="15.75" customHeight="1">
      <c r="A562" s="7"/>
      <c r="J562" s="15"/>
      <c r="K562" s="15"/>
      <c r="L562" s="15"/>
    </row>
    <row r="563" spans="1:12" ht="15.75" customHeight="1">
      <c r="A563" s="7"/>
      <c r="J563" s="15"/>
      <c r="K563" s="15"/>
      <c r="L563" s="15"/>
    </row>
    <row r="564" spans="1:12" ht="15.75" customHeight="1">
      <c r="A564" s="7"/>
      <c r="J564" s="15"/>
      <c r="K564" s="15"/>
      <c r="L564" s="15"/>
    </row>
    <row r="565" spans="1:12" ht="15.75" customHeight="1">
      <c r="A565" s="7"/>
      <c r="J565" s="15"/>
      <c r="K565" s="15"/>
      <c r="L565" s="15"/>
    </row>
    <row r="566" spans="1:12" ht="15.75" customHeight="1">
      <c r="A566" s="7"/>
      <c r="J566" s="15"/>
      <c r="K566" s="15"/>
      <c r="L566" s="15"/>
    </row>
    <row r="567" spans="1:12" ht="15.75" customHeight="1">
      <c r="A567" s="7"/>
      <c r="J567" s="15"/>
      <c r="K567" s="15"/>
      <c r="L567" s="15"/>
    </row>
    <row r="568" spans="1:12" ht="15.75" customHeight="1">
      <c r="A568" s="7"/>
      <c r="J568" s="15"/>
      <c r="K568" s="15"/>
      <c r="L568" s="15"/>
    </row>
    <row r="569" spans="1:12" ht="15.75" customHeight="1">
      <c r="A569" s="7"/>
      <c r="J569" s="15"/>
      <c r="K569" s="15"/>
      <c r="L569" s="15"/>
    </row>
    <row r="570" spans="1:12" ht="15.75" customHeight="1">
      <c r="A570" s="7"/>
      <c r="J570" s="15"/>
      <c r="K570" s="15"/>
      <c r="L570" s="15"/>
    </row>
    <row r="571" spans="1:12" ht="15.75" customHeight="1">
      <c r="A571" s="7"/>
      <c r="J571" s="15"/>
      <c r="K571" s="15"/>
      <c r="L571" s="15"/>
    </row>
    <row r="572" spans="1:12" ht="15.75" customHeight="1">
      <c r="A572" s="7"/>
      <c r="J572" s="15"/>
      <c r="K572" s="15"/>
      <c r="L572" s="15"/>
    </row>
    <row r="573" spans="1:12" ht="15.75" customHeight="1">
      <c r="A573" s="7"/>
      <c r="J573" s="15"/>
      <c r="K573" s="15"/>
      <c r="L573" s="15"/>
    </row>
    <row r="574" spans="1:12" ht="15.75" customHeight="1">
      <c r="A574" s="7"/>
      <c r="J574" s="15"/>
      <c r="K574" s="15"/>
      <c r="L574" s="15"/>
    </row>
    <row r="575" spans="1:12" ht="15.75" customHeight="1">
      <c r="A575" s="7"/>
      <c r="J575" s="15"/>
      <c r="K575" s="15"/>
      <c r="L575" s="15"/>
    </row>
    <row r="576" spans="1:12" ht="15.75" customHeight="1">
      <c r="A576" s="7"/>
      <c r="J576" s="15"/>
      <c r="K576" s="15"/>
      <c r="L576" s="15"/>
    </row>
    <row r="577" spans="1:12" ht="15.75" customHeight="1">
      <c r="A577" s="7"/>
      <c r="J577" s="15"/>
      <c r="K577" s="15"/>
      <c r="L577" s="15"/>
    </row>
    <row r="578" spans="1:12" ht="15.75" customHeight="1">
      <c r="A578" s="7"/>
      <c r="J578" s="15"/>
      <c r="K578" s="15"/>
      <c r="L578" s="15"/>
    </row>
    <row r="579" spans="1:12" ht="15.75" customHeight="1">
      <c r="A579" s="7"/>
      <c r="J579" s="15"/>
      <c r="K579" s="15"/>
      <c r="L579" s="15"/>
    </row>
    <row r="580" spans="1:12" ht="15.75" customHeight="1">
      <c r="A580" s="7"/>
      <c r="J580" s="15"/>
      <c r="K580" s="15"/>
      <c r="L580" s="15"/>
    </row>
    <row r="581" spans="1:12" ht="15.75" customHeight="1">
      <c r="A581" s="7"/>
      <c r="J581" s="15"/>
      <c r="K581" s="15"/>
      <c r="L581" s="15"/>
    </row>
    <row r="582" spans="1:12" ht="15.75" customHeight="1">
      <c r="A582" s="7"/>
      <c r="J582" s="15"/>
      <c r="K582" s="15"/>
      <c r="L582" s="15"/>
    </row>
    <row r="583" spans="1:12" ht="15.75" customHeight="1">
      <c r="A583" s="7"/>
      <c r="J583" s="15"/>
      <c r="K583" s="15"/>
      <c r="L583" s="15"/>
    </row>
    <row r="584" spans="1:12" ht="15.75" customHeight="1">
      <c r="A584" s="7"/>
      <c r="J584" s="15"/>
      <c r="K584" s="15"/>
      <c r="L584" s="15"/>
    </row>
    <row r="585" spans="1:12" ht="15.75" customHeight="1">
      <c r="A585" s="7"/>
      <c r="J585" s="15"/>
      <c r="K585" s="15"/>
      <c r="L585" s="15"/>
    </row>
    <row r="586" spans="1:12" ht="15.75" customHeight="1">
      <c r="A586" s="7"/>
      <c r="J586" s="15"/>
      <c r="K586" s="15"/>
      <c r="L586" s="15"/>
    </row>
    <row r="587" spans="1:12" ht="15.75" customHeight="1">
      <c r="A587" s="7"/>
      <c r="J587" s="15"/>
      <c r="K587" s="15"/>
      <c r="L587" s="15"/>
    </row>
    <row r="588" spans="1:12" ht="15.75" customHeight="1">
      <c r="A588" s="7"/>
      <c r="J588" s="15"/>
      <c r="K588" s="15"/>
      <c r="L588" s="15"/>
    </row>
    <row r="589" spans="1:12" ht="15.75" customHeight="1">
      <c r="A589" s="7"/>
      <c r="J589" s="15"/>
      <c r="K589" s="15"/>
      <c r="L589" s="15"/>
    </row>
    <row r="590" spans="1:12" ht="15.75" customHeight="1">
      <c r="A590" s="7"/>
      <c r="J590" s="15"/>
      <c r="K590" s="15"/>
      <c r="L590" s="15"/>
    </row>
    <row r="591" spans="1:12" ht="15.75" customHeight="1">
      <c r="A591" s="7"/>
      <c r="J591" s="15"/>
      <c r="K591" s="15"/>
      <c r="L591" s="15"/>
    </row>
    <row r="592" spans="1:12" ht="15.75" customHeight="1">
      <c r="A592" s="7"/>
      <c r="J592" s="15"/>
      <c r="K592" s="15"/>
      <c r="L592" s="15"/>
    </row>
    <row r="593" spans="1:12" ht="15.75" customHeight="1">
      <c r="A593" s="7"/>
      <c r="J593" s="15"/>
      <c r="K593" s="15"/>
      <c r="L593" s="15"/>
    </row>
    <row r="594" spans="1:12" ht="15.75" customHeight="1">
      <c r="A594" s="7"/>
      <c r="J594" s="15"/>
      <c r="K594" s="15"/>
      <c r="L594" s="15"/>
    </row>
    <row r="595" spans="1:12" ht="15.75" customHeight="1">
      <c r="A595" s="7"/>
      <c r="J595" s="15"/>
      <c r="K595" s="15"/>
      <c r="L595" s="15"/>
    </row>
    <row r="596" spans="1:12" ht="15.75" customHeight="1">
      <c r="A596" s="7"/>
      <c r="J596" s="15"/>
      <c r="K596" s="15"/>
      <c r="L596" s="15"/>
    </row>
    <row r="597" spans="1:12" ht="15.75" customHeight="1">
      <c r="A597" s="7"/>
      <c r="J597" s="15"/>
      <c r="K597" s="15"/>
      <c r="L597" s="15"/>
    </row>
    <row r="598" spans="1:12" ht="15.75" customHeight="1">
      <c r="A598" s="7"/>
      <c r="J598" s="15"/>
      <c r="K598" s="15"/>
      <c r="L598" s="15"/>
    </row>
    <row r="599" spans="1:12" ht="15.75" customHeight="1">
      <c r="A599" s="7"/>
      <c r="J599" s="15"/>
      <c r="K599" s="15"/>
      <c r="L599" s="15"/>
    </row>
    <row r="600" spans="1:12" ht="15.75" customHeight="1">
      <c r="A600" s="7"/>
      <c r="J600" s="15"/>
      <c r="K600" s="15"/>
      <c r="L600" s="15"/>
    </row>
    <row r="601" spans="1:12" ht="15.75" customHeight="1">
      <c r="A601" s="7"/>
      <c r="J601" s="15"/>
      <c r="K601" s="15"/>
      <c r="L601" s="15"/>
    </row>
    <row r="602" spans="1:12" ht="15.75" customHeight="1">
      <c r="A602" s="7"/>
      <c r="J602" s="15"/>
      <c r="K602" s="15"/>
      <c r="L602" s="15"/>
    </row>
    <row r="603" spans="1:12" ht="15.75" customHeight="1">
      <c r="A603" s="7"/>
      <c r="J603" s="15"/>
      <c r="K603" s="15"/>
      <c r="L603" s="15"/>
    </row>
    <row r="604" spans="1:12" ht="15.75" customHeight="1">
      <c r="A604" s="7"/>
      <c r="J604" s="15"/>
      <c r="K604" s="15"/>
      <c r="L604" s="15"/>
    </row>
    <row r="605" spans="1:12" ht="15.75" customHeight="1">
      <c r="A605" s="7"/>
      <c r="J605" s="15"/>
      <c r="K605" s="15"/>
      <c r="L605" s="15"/>
    </row>
    <row r="606" spans="1:12" ht="15.75" customHeight="1">
      <c r="A606" s="7"/>
      <c r="J606" s="15"/>
      <c r="K606" s="15"/>
      <c r="L606" s="15"/>
    </row>
    <row r="607" spans="1:12" ht="15.75" customHeight="1">
      <c r="A607" s="7"/>
      <c r="J607" s="15"/>
      <c r="K607" s="15"/>
      <c r="L607" s="15"/>
    </row>
    <row r="608" spans="1:12" ht="15.75" customHeight="1">
      <c r="A608" s="7"/>
      <c r="J608" s="15"/>
      <c r="K608" s="15"/>
      <c r="L608" s="15"/>
    </row>
    <row r="609" spans="1:12" ht="15.75" customHeight="1">
      <c r="A609" s="7"/>
      <c r="J609" s="15"/>
      <c r="K609" s="15"/>
      <c r="L609" s="15"/>
    </row>
    <row r="610" spans="1:12" ht="15.75" customHeight="1">
      <c r="A610" s="7"/>
      <c r="J610" s="15"/>
      <c r="K610" s="15"/>
      <c r="L610" s="15"/>
    </row>
    <row r="611" spans="1:12" ht="15.75" customHeight="1">
      <c r="A611" s="7"/>
      <c r="J611" s="15"/>
      <c r="K611" s="15"/>
      <c r="L611" s="15"/>
    </row>
    <row r="612" spans="1:12" ht="15.75" customHeight="1">
      <c r="A612" s="7"/>
      <c r="J612" s="15"/>
      <c r="K612" s="15"/>
      <c r="L612" s="15"/>
    </row>
    <row r="613" spans="1:12" ht="15.75" customHeight="1">
      <c r="A613" s="7"/>
      <c r="J613" s="15"/>
      <c r="K613" s="15"/>
      <c r="L613" s="15"/>
    </row>
    <row r="614" spans="1:12" ht="15.75" customHeight="1">
      <c r="A614" s="7"/>
      <c r="J614" s="15"/>
      <c r="K614" s="15"/>
      <c r="L614" s="15"/>
    </row>
    <row r="615" spans="1:12" ht="15.75" customHeight="1">
      <c r="A615" s="7"/>
      <c r="J615" s="15"/>
      <c r="K615" s="15"/>
      <c r="L615" s="15"/>
    </row>
    <row r="616" spans="1:12" ht="15.75" customHeight="1">
      <c r="A616" s="7"/>
      <c r="J616" s="15"/>
      <c r="K616" s="15"/>
      <c r="L616" s="15"/>
    </row>
    <row r="617" spans="1:12" ht="15.75" customHeight="1">
      <c r="A617" s="7"/>
      <c r="J617" s="15"/>
      <c r="K617" s="15"/>
      <c r="L617" s="15"/>
    </row>
    <row r="618" spans="1:12" ht="15.75" customHeight="1">
      <c r="A618" s="7"/>
      <c r="J618" s="15"/>
      <c r="K618" s="15"/>
      <c r="L618" s="15"/>
    </row>
    <row r="619" spans="1:12" ht="15.75" customHeight="1">
      <c r="A619" s="7"/>
      <c r="J619" s="15"/>
      <c r="K619" s="15"/>
      <c r="L619" s="15"/>
    </row>
    <row r="620" spans="1:12" ht="15.75" customHeight="1">
      <c r="A620" s="7"/>
      <c r="J620" s="15"/>
      <c r="K620" s="15"/>
      <c r="L620" s="15"/>
    </row>
    <row r="621" spans="1:12" ht="15.75" customHeight="1">
      <c r="A621" s="7"/>
      <c r="J621" s="15"/>
      <c r="K621" s="15"/>
      <c r="L621" s="15"/>
    </row>
    <row r="622" spans="1:12" ht="15.75" customHeight="1">
      <c r="A622" s="7"/>
      <c r="J622" s="15"/>
      <c r="K622" s="15"/>
      <c r="L622" s="15"/>
    </row>
    <row r="623" spans="1:12" ht="15.75" customHeight="1">
      <c r="A623" s="7"/>
      <c r="J623" s="15"/>
      <c r="K623" s="15"/>
      <c r="L623" s="15"/>
    </row>
    <row r="624" spans="1:12" ht="15.75" customHeight="1">
      <c r="A624" s="7"/>
      <c r="J624" s="15"/>
      <c r="K624" s="15"/>
      <c r="L624" s="15"/>
    </row>
    <row r="625" spans="1:12" ht="15.75" customHeight="1">
      <c r="A625" s="7"/>
      <c r="J625" s="15"/>
      <c r="K625" s="15"/>
      <c r="L625" s="15"/>
    </row>
    <row r="626" spans="1:12" ht="15.75" customHeight="1">
      <c r="A626" s="7"/>
      <c r="J626" s="15"/>
      <c r="K626" s="15"/>
      <c r="L626" s="15"/>
    </row>
    <row r="627" spans="1:12" ht="15.75" customHeight="1">
      <c r="A627" s="7"/>
      <c r="J627" s="15"/>
      <c r="K627" s="15"/>
      <c r="L627" s="15"/>
    </row>
    <row r="628" spans="1:12" ht="15.75" customHeight="1">
      <c r="A628" s="7"/>
      <c r="J628" s="15"/>
      <c r="K628" s="15"/>
      <c r="L628" s="15"/>
    </row>
    <row r="629" spans="1:12" ht="15.75" customHeight="1">
      <c r="A629" s="7"/>
      <c r="J629" s="15"/>
      <c r="K629" s="15"/>
      <c r="L629" s="15"/>
    </row>
    <row r="630" spans="1:12" ht="15.75" customHeight="1">
      <c r="A630" s="7"/>
      <c r="J630" s="15"/>
      <c r="K630" s="15"/>
      <c r="L630" s="15"/>
    </row>
    <row r="631" spans="1:12" ht="15.75" customHeight="1">
      <c r="A631" s="7"/>
      <c r="J631" s="15"/>
      <c r="K631" s="15"/>
      <c r="L631" s="15"/>
    </row>
    <row r="632" spans="1:12" ht="15.75" customHeight="1">
      <c r="A632" s="7"/>
      <c r="J632" s="15"/>
      <c r="K632" s="15"/>
      <c r="L632" s="15"/>
    </row>
    <row r="633" spans="1:12" ht="15.75" customHeight="1">
      <c r="A633" s="7"/>
      <c r="J633" s="15"/>
      <c r="K633" s="15"/>
      <c r="L633" s="15"/>
    </row>
    <row r="634" spans="1:12" ht="15.75" customHeight="1">
      <c r="A634" s="7"/>
      <c r="J634" s="15"/>
      <c r="K634" s="15"/>
      <c r="L634" s="15"/>
    </row>
    <row r="635" spans="1:12" ht="15.75" customHeight="1">
      <c r="A635" s="7"/>
      <c r="J635" s="15"/>
      <c r="K635" s="15"/>
      <c r="L635" s="15"/>
    </row>
    <row r="636" spans="1:12" ht="15.75" customHeight="1">
      <c r="A636" s="7"/>
      <c r="J636" s="15"/>
      <c r="K636" s="15"/>
      <c r="L636" s="15"/>
    </row>
    <row r="637" spans="1:12" ht="15.75" customHeight="1">
      <c r="A637" s="7"/>
      <c r="J637" s="15"/>
      <c r="K637" s="15"/>
      <c r="L637" s="15"/>
    </row>
    <row r="638" spans="1:12" ht="15.75" customHeight="1">
      <c r="A638" s="7"/>
      <c r="J638" s="15"/>
      <c r="K638" s="15"/>
      <c r="L638" s="15"/>
    </row>
    <row r="639" spans="1:12" ht="15.75" customHeight="1">
      <c r="A639" s="7"/>
      <c r="J639" s="15"/>
      <c r="K639" s="15"/>
      <c r="L639" s="15"/>
    </row>
    <row r="640" spans="1:12" ht="15.75" customHeight="1">
      <c r="A640" s="7"/>
      <c r="J640" s="15"/>
      <c r="K640" s="15"/>
      <c r="L640" s="15"/>
    </row>
    <row r="641" spans="1:12" ht="15.75" customHeight="1">
      <c r="A641" s="7"/>
      <c r="J641" s="15"/>
      <c r="K641" s="15"/>
      <c r="L641" s="15"/>
    </row>
    <row r="642" spans="1:12" ht="15.75" customHeight="1">
      <c r="A642" s="7"/>
      <c r="J642" s="15"/>
      <c r="K642" s="15"/>
      <c r="L642" s="15"/>
    </row>
    <row r="643" spans="1:12" ht="15.75" customHeight="1">
      <c r="A643" s="7"/>
      <c r="J643" s="15"/>
      <c r="K643" s="15"/>
      <c r="L643" s="15"/>
    </row>
    <row r="644" spans="1:12" ht="15.75" customHeight="1">
      <c r="A644" s="7"/>
      <c r="J644" s="15"/>
      <c r="K644" s="15"/>
      <c r="L644" s="15"/>
    </row>
    <row r="645" spans="1:12" ht="15.75" customHeight="1">
      <c r="A645" s="7"/>
      <c r="J645" s="15"/>
      <c r="K645" s="15"/>
      <c r="L645" s="15"/>
    </row>
    <row r="646" spans="1:12" ht="15.75" customHeight="1">
      <c r="A646" s="7"/>
      <c r="J646" s="15"/>
      <c r="K646" s="15"/>
      <c r="L646" s="15"/>
    </row>
    <row r="647" spans="1:12" ht="15.75" customHeight="1">
      <c r="A647" s="7"/>
      <c r="J647" s="15"/>
      <c r="K647" s="15"/>
      <c r="L647" s="15"/>
    </row>
    <row r="648" spans="1:12" ht="15.75" customHeight="1">
      <c r="A648" s="7"/>
      <c r="J648" s="15"/>
      <c r="K648" s="15"/>
      <c r="L648" s="15"/>
    </row>
    <row r="649" spans="1:12" ht="15.75" customHeight="1">
      <c r="A649" s="7"/>
      <c r="J649" s="15"/>
      <c r="K649" s="15"/>
      <c r="L649" s="15"/>
    </row>
    <row r="650" spans="1:12" ht="15.75" customHeight="1">
      <c r="A650" s="7"/>
      <c r="J650" s="15"/>
      <c r="K650" s="15"/>
      <c r="L650" s="15"/>
    </row>
    <row r="651" spans="1:12" ht="15.75" customHeight="1">
      <c r="A651" s="7"/>
      <c r="J651" s="15"/>
      <c r="K651" s="15"/>
      <c r="L651" s="15"/>
    </row>
    <row r="652" spans="1:12" ht="15.75" customHeight="1">
      <c r="A652" s="7"/>
      <c r="J652" s="15"/>
      <c r="K652" s="15"/>
      <c r="L652" s="15"/>
    </row>
    <row r="653" spans="1:12" ht="15.75" customHeight="1">
      <c r="A653" s="7"/>
      <c r="J653" s="15"/>
      <c r="K653" s="15"/>
      <c r="L653" s="15"/>
    </row>
    <row r="654" spans="1:12" ht="15.75" customHeight="1">
      <c r="A654" s="7"/>
      <c r="J654" s="15"/>
      <c r="K654" s="15"/>
      <c r="L654" s="15"/>
    </row>
    <row r="655" spans="1:12" ht="15.75" customHeight="1">
      <c r="A655" s="7"/>
      <c r="J655" s="15"/>
      <c r="K655" s="15"/>
      <c r="L655" s="15"/>
    </row>
    <row r="656" spans="1:12" ht="15.75" customHeight="1">
      <c r="A656" s="7"/>
      <c r="J656" s="15"/>
      <c r="K656" s="15"/>
      <c r="L656" s="15"/>
    </row>
    <row r="657" spans="1:12" ht="15.75" customHeight="1">
      <c r="A657" s="7"/>
      <c r="J657" s="15"/>
      <c r="K657" s="15"/>
      <c r="L657" s="15"/>
    </row>
    <row r="658" spans="1:12" ht="15.75" customHeight="1">
      <c r="A658" s="7"/>
      <c r="J658" s="15"/>
      <c r="K658" s="15"/>
      <c r="L658" s="15"/>
    </row>
    <row r="659" spans="1:12" ht="15.75" customHeight="1">
      <c r="A659" s="7"/>
      <c r="J659" s="15"/>
      <c r="K659" s="15"/>
      <c r="L659" s="15"/>
    </row>
    <row r="660" spans="1:12" ht="15.75" customHeight="1">
      <c r="A660" s="7"/>
      <c r="J660" s="15"/>
      <c r="K660" s="15"/>
      <c r="L660" s="15"/>
    </row>
    <row r="661" spans="1:12" ht="15.75" customHeight="1">
      <c r="A661" s="7"/>
      <c r="J661" s="15"/>
      <c r="K661" s="15"/>
      <c r="L661" s="15"/>
    </row>
    <row r="662" spans="1:12" ht="15.75" customHeight="1">
      <c r="A662" s="7"/>
      <c r="J662" s="15"/>
      <c r="K662" s="15"/>
      <c r="L662" s="15"/>
    </row>
    <row r="663" spans="1:12" ht="15.75" customHeight="1">
      <c r="A663" s="7"/>
      <c r="J663" s="15"/>
      <c r="K663" s="15"/>
      <c r="L663" s="15"/>
    </row>
    <row r="664" spans="1:12" ht="15.75" customHeight="1">
      <c r="A664" s="7"/>
      <c r="J664" s="15"/>
      <c r="K664" s="15"/>
      <c r="L664" s="15"/>
    </row>
    <row r="665" spans="1:12" ht="15.75" customHeight="1">
      <c r="A665" s="7"/>
      <c r="J665" s="15"/>
      <c r="K665" s="15"/>
      <c r="L665" s="15"/>
    </row>
    <row r="666" spans="1:12" ht="15.75" customHeight="1">
      <c r="A666" s="7"/>
      <c r="J666" s="15"/>
      <c r="K666" s="15"/>
      <c r="L666" s="15"/>
    </row>
    <row r="667" spans="1:12" ht="15.75" customHeight="1">
      <c r="A667" s="7"/>
      <c r="J667" s="15"/>
      <c r="K667" s="15"/>
      <c r="L667" s="15"/>
    </row>
    <row r="668" spans="1:12" ht="15.75" customHeight="1">
      <c r="A668" s="7"/>
      <c r="J668" s="15"/>
      <c r="K668" s="15"/>
      <c r="L668" s="15"/>
    </row>
    <row r="669" spans="1:12" ht="15.75" customHeight="1">
      <c r="A669" s="7"/>
      <c r="J669" s="15"/>
      <c r="K669" s="15"/>
      <c r="L669" s="15"/>
    </row>
    <row r="670" spans="1:12" ht="15.75" customHeight="1">
      <c r="A670" s="7"/>
      <c r="J670" s="15"/>
      <c r="K670" s="15"/>
      <c r="L670" s="15"/>
    </row>
    <row r="671" spans="1:12" ht="15.75" customHeight="1">
      <c r="A671" s="7"/>
      <c r="J671" s="15"/>
      <c r="K671" s="15"/>
      <c r="L671" s="15"/>
    </row>
    <row r="672" spans="1:12" ht="15.75" customHeight="1">
      <c r="A672" s="7"/>
      <c r="J672" s="15"/>
      <c r="K672" s="15"/>
      <c r="L672" s="15"/>
    </row>
    <row r="673" spans="1:12" ht="15.75" customHeight="1">
      <c r="A673" s="7"/>
      <c r="J673" s="15"/>
      <c r="K673" s="15"/>
      <c r="L673" s="15"/>
    </row>
    <row r="674" spans="1:12" ht="15.75" customHeight="1">
      <c r="A674" s="7"/>
      <c r="J674" s="15"/>
      <c r="K674" s="15"/>
      <c r="L674" s="15"/>
    </row>
    <row r="675" spans="1:12" ht="15.75" customHeight="1">
      <c r="A675" s="7"/>
      <c r="J675" s="15"/>
      <c r="K675" s="15"/>
      <c r="L675" s="15"/>
    </row>
    <row r="676" spans="1:12" ht="15.75" customHeight="1">
      <c r="A676" s="7"/>
      <c r="J676" s="15"/>
      <c r="K676" s="15"/>
      <c r="L676" s="15"/>
    </row>
    <row r="677" spans="1:12" ht="15.75" customHeight="1">
      <c r="A677" s="7"/>
      <c r="J677" s="15"/>
      <c r="K677" s="15"/>
      <c r="L677" s="15"/>
    </row>
    <row r="678" spans="1:12" ht="15.75" customHeight="1">
      <c r="A678" s="7"/>
      <c r="J678" s="15"/>
      <c r="K678" s="15"/>
      <c r="L678" s="15"/>
    </row>
    <row r="679" spans="1:12" ht="15.75" customHeight="1">
      <c r="A679" s="7"/>
      <c r="J679" s="15"/>
      <c r="K679" s="15"/>
      <c r="L679" s="15"/>
    </row>
    <row r="680" spans="1:12" ht="15.75" customHeight="1">
      <c r="A680" s="7"/>
      <c r="J680" s="15"/>
      <c r="K680" s="15"/>
      <c r="L680" s="15"/>
    </row>
    <row r="681" spans="1:12" ht="15.75" customHeight="1">
      <c r="A681" s="7"/>
      <c r="J681" s="15"/>
      <c r="K681" s="15"/>
      <c r="L681" s="15"/>
    </row>
    <row r="682" spans="1:12" ht="15.75" customHeight="1">
      <c r="A682" s="7"/>
      <c r="J682" s="15"/>
      <c r="K682" s="15"/>
      <c r="L682" s="15"/>
    </row>
    <row r="683" spans="1:12" ht="15.75" customHeight="1">
      <c r="A683" s="7"/>
      <c r="J683" s="15"/>
      <c r="K683" s="15"/>
      <c r="L683" s="15"/>
    </row>
    <row r="684" spans="1:12" ht="15.75" customHeight="1">
      <c r="A684" s="7"/>
      <c r="J684" s="15"/>
      <c r="K684" s="15"/>
      <c r="L684" s="15"/>
    </row>
    <row r="685" spans="1:12" ht="15.75" customHeight="1">
      <c r="A685" s="7"/>
      <c r="J685" s="15"/>
      <c r="K685" s="15"/>
      <c r="L685" s="15"/>
    </row>
    <row r="686" spans="1:12" ht="15.75" customHeight="1">
      <c r="A686" s="7"/>
      <c r="J686" s="15"/>
      <c r="K686" s="15"/>
      <c r="L686" s="15"/>
    </row>
    <row r="687" spans="1:12" ht="15.75" customHeight="1">
      <c r="A687" s="7"/>
      <c r="J687" s="15"/>
      <c r="K687" s="15"/>
      <c r="L687" s="15"/>
    </row>
    <row r="688" spans="1:12" ht="15.75" customHeight="1">
      <c r="A688" s="7"/>
      <c r="J688" s="15"/>
      <c r="K688" s="15"/>
      <c r="L688" s="15"/>
    </row>
    <row r="689" spans="1:12" ht="15.75" customHeight="1">
      <c r="A689" s="7"/>
      <c r="J689" s="15"/>
      <c r="K689" s="15"/>
      <c r="L689" s="15"/>
    </row>
    <row r="690" spans="1:12" ht="15.75" customHeight="1">
      <c r="A690" s="7"/>
      <c r="J690" s="15"/>
      <c r="K690" s="15"/>
      <c r="L690" s="15"/>
    </row>
    <row r="691" spans="1:12" ht="15.75" customHeight="1">
      <c r="A691" s="7"/>
      <c r="J691" s="15"/>
      <c r="K691" s="15"/>
      <c r="L691" s="15"/>
    </row>
    <row r="692" spans="1:12" ht="15.75" customHeight="1">
      <c r="A692" s="7"/>
      <c r="J692" s="15"/>
      <c r="K692" s="15"/>
      <c r="L692" s="15"/>
    </row>
    <row r="693" spans="1:12" ht="15.75" customHeight="1">
      <c r="A693" s="7"/>
      <c r="J693" s="15"/>
      <c r="K693" s="15"/>
      <c r="L693" s="15"/>
    </row>
    <row r="694" spans="1:12" ht="15.75" customHeight="1">
      <c r="A694" s="7"/>
      <c r="J694" s="15"/>
      <c r="K694" s="15"/>
      <c r="L694" s="15"/>
    </row>
    <row r="695" spans="1:12" ht="15.75" customHeight="1">
      <c r="A695" s="7"/>
      <c r="J695" s="15"/>
      <c r="K695" s="15"/>
      <c r="L695" s="15"/>
    </row>
    <row r="696" spans="1:12" ht="15.75" customHeight="1">
      <c r="A696" s="7"/>
      <c r="J696" s="15"/>
      <c r="K696" s="15"/>
      <c r="L696" s="15"/>
    </row>
    <row r="697" spans="1:12" ht="15.75" customHeight="1">
      <c r="A697" s="7"/>
      <c r="J697" s="15"/>
      <c r="K697" s="15"/>
      <c r="L697" s="15"/>
    </row>
    <row r="698" spans="1:12" ht="15.75" customHeight="1">
      <c r="A698" s="7"/>
      <c r="J698" s="15"/>
      <c r="K698" s="15"/>
      <c r="L698" s="15"/>
    </row>
    <row r="699" spans="1:12" ht="15.75" customHeight="1">
      <c r="A699" s="7"/>
      <c r="J699" s="15"/>
      <c r="K699" s="15"/>
      <c r="L699" s="15"/>
    </row>
    <row r="700" spans="1:12" ht="15.75" customHeight="1">
      <c r="A700" s="7"/>
      <c r="J700" s="15"/>
      <c r="K700" s="15"/>
      <c r="L700" s="15"/>
    </row>
    <row r="701" spans="1:12" ht="15.75" customHeight="1">
      <c r="A701" s="7"/>
      <c r="J701" s="15"/>
      <c r="K701" s="15"/>
      <c r="L701" s="15"/>
    </row>
    <row r="702" spans="1:12" ht="15.75" customHeight="1">
      <c r="A702" s="7"/>
      <c r="J702" s="15"/>
      <c r="K702" s="15"/>
      <c r="L702" s="15"/>
    </row>
    <row r="703" spans="1:12" ht="15.75" customHeight="1">
      <c r="A703" s="7"/>
      <c r="J703" s="15"/>
      <c r="K703" s="15"/>
      <c r="L703" s="15"/>
    </row>
    <row r="704" spans="1:12" ht="15.75" customHeight="1">
      <c r="A704" s="7"/>
      <c r="J704" s="15"/>
      <c r="K704" s="15"/>
      <c r="L704" s="15"/>
    </row>
    <row r="705" spans="1:12" ht="15.75" customHeight="1">
      <c r="A705" s="7"/>
      <c r="J705" s="15"/>
      <c r="K705" s="15"/>
      <c r="L705" s="15"/>
    </row>
    <row r="706" spans="1:12" ht="15.75" customHeight="1">
      <c r="A706" s="7"/>
      <c r="J706" s="15"/>
      <c r="K706" s="15"/>
      <c r="L706" s="15"/>
    </row>
    <row r="707" spans="1:12" ht="15.75" customHeight="1">
      <c r="A707" s="7"/>
      <c r="J707" s="15"/>
      <c r="K707" s="15"/>
      <c r="L707" s="15"/>
    </row>
    <row r="708" spans="1:12" ht="15.75" customHeight="1">
      <c r="A708" s="7"/>
      <c r="J708" s="15"/>
      <c r="K708" s="15"/>
      <c r="L708" s="15"/>
    </row>
    <row r="709" spans="1:12" ht="15.75" customHeight="1">
      <c r="A709" s="7"/>
      <c r="J709" s="15"/>
      <c r="K709" s="15"/>
      <c r="L709" s="15"/>
    </row>
    <row r="710" spans="1:12" ht="15.75" customHeight="1">
      <c r="A710" s="7"/>
      <c r="J710" s="15"/>
      <c r="K710" s="15"/>
      <c r="L710" s="15"/>
    </row>
    <row r="711" spans="1:12" ht="15.75" customHeight="1">
      <c r="A711" s="7"/>
      <c r="J711" s="15"/>
      <c r="K711" s="15"/>
      <c r="L711" s="15"/>
    </row>
    <row r="712" spans="1:12" ht="15.75" customHeight="1">
      <c r="A712" s="7"/>
      <c r="J712" s="15"/>
      <c r="K712" s="15"/>
      <c r="L712" s="15"/>
    </row>
    <row r="713" spans="1:12" ht="15.75" customHeight="1">
      <c r="A713" s="7"/>
      <c r="J713" s="15"/>
      <c r="K713" s="15"/>
      <c r="L713" s="15"/>
    </row>
    <row r="714" spans="1:12" ht="15.75" customHeight="1">
      <c r="A714" s="7"/>
      <c r="J714" s="15"/>
      <c r="K714" s="15"/>
      <c r="L714" s="15"/>
    </row>
    <row r="715" spans="1:12" ht="15.75" customHeight="1">
      <c r="A715" s="7"/>
      <c r="J715" s="15"/>
      <c r="K715" s="15"/>
      <c r="L715" s="15"/>
    </row>
    <row r="716" spans="1:12" ht="15.75" customHeight="1">
      <c r="A716" s="7"/>
      <c r="J716" s="15"/>
      <c r="K716" s="15"/>
      <c r="L716" s="15"/>
    </row>
    <row r="717" spans="1:12" ht="15.75" customHeight="1">
      <c r="A717" s="7"/>
      <c r="J717" s="15"/>
      <c r="K717" s="15"/>
      <c r="L717" s="15"/>
    </row>
    <row r="718" spans="1:12" ht="15.75" customHeight="1">
      <c r="A718" s="7"/>
      <c r="J718" s="15"/>
      <c r="K718" s="15"/>
      <c r="L718" s="15"/>
    </row>
    <row r="719" spans="1:12" ht="15.75" customHeight="1">
      <c r="A719" s="7"/>
      <c r="J719" s="15"/>
      <c r="K719" s="15"/>
      <c r="L719" s="15"/>
    </row>
    <row r="720" spans="1:12" ht="15.75" customHeight="1">
      <c r="A720" s="7"/>
      <c r="J720" s="15"/>
      <c r="K720" s="15"/>
      <c r="L720" s="15"/>
    </row>
    <row r="721" spans="1:12" ht="15.75" customHeight="1">
      <c r="A721" s="7"/>
      <c r="J721" s="15"/>
      <c r="K721" s="15"/>
      <c r="L721" s="15"/>
    </row>
    <row r="722" spans="1:12" ht="15.75" customHeight="1">
      <c r="A722" s="7"/>
      <c r="J722" s="15"/>
      <c r="K722" s="15"/>
      <c r="L722" s="15"/>
    </row>
    <row r="723" spans="1:12" ht="15.75" customHeight="1">
      <c r="A723" s="7"/>
      <c r="J723" s="15"/>
      <c r="K723" s="15"/>
      <c r="L723" s="15"/>
    </row>
    <row r="724" spans="1:12" ht="15.75" customHeight="1">
      <c r="A724" s="7"/>
      <c r="J724" s="15"/>
      <c r="K724" s="15"/>
      <c r="L724" s="15"/>
    </row>
    <row r="725" spans="1:12" ht="15.75" customHeight="1">
      <c r="A725" s="7"/>
      <c r="J725" s="15"/>
      <c r="K725" s="15"/>
      <c r="L725" s="15"/>
    </row>
    <row r="726" spans="1:12" ht="15.75" customHeight="1">
      <c r="A726" s="7"/>
      <c r="J726" s="15"/>
      <c r="K726" s="15"/>
      <c r="L726" s="15"/>
    </row>
    <row r="727" spans="1:12" ht="15.75" customHeight="1">
      <c r="A727" s="7"/>
      <c r="J727" s="15"/>
      <c r="K727" s="15"/>
      <c r="L727" s="15"/>
    </row>
    <row r="728" spans="1:12" ht="15.75" customHeight="1">
      <c r="A728" s="7"/>
      <c r="J728" s="15"/>
      <c r="K728" s="15"/>
      <c r="L728" s="15"/>
    </row>
    <row r="729" spans="1:12" ht="15.75" customHeight="1">
      <c r="A729" s="7"/>
      <c r="J729" s="15"/>
      <c r="K729" s="15"/>
      <c r="L729" s="15"/>
    </row>
    <row r="730" spans="1:12" ht="15.75" customHeight="1">
      <c r="A730" s="7"/>
      <c r="J730" s="15"/>
      <c r="K730" s="15"/>
      <c r="L730" s="15"/>
    </row>
    <row r="731" spans="1:12" ht="15.75" customHeight="1">
      <c r="A731" s="7"/>
      <c r="J731" s="15"/>
      <c r="K731" s="15"/>
      <c r="L731" s="15"/>
    </row>
    <row r="732" spans="1:12" ht="15.75" customHeight="1">
      <c r="A732" s="7"/>
      <c r="J732" s="15"/>
      <c r="K732" s="15"/>
      <c r="L732" s="15"/>
    </row>
    <row r="733" spans="1:12" ht="15.75" customHeight="1">
      <c r="A733" s="7"/>
      <c r="J733" s="15"/>
      <c r="K733" s="15"/>
      <c r="L733" s="15"/>
    </row>
    <row r="734" spans="1:12" ht="15.75" customHeight="1">
      <c r="A734" s="7"/>
      <c r="J734" s="15"/>
      <c r="K734" s="15"/>
      <c r="L734" s="15"/>
    </row>
    <row r="735" spans="1:12" ht="15.75" customHeight="1">
      <c r="A735" s="7"/>
      <c r="J735" s="15"/>
      <c r="K735" s="15"/>
      <c r="L735" s="15"/>
    </row>
    <row r="736" spans="1:12" ht="15.75" customHeight="1">
      <c r="A736" s="7"/>
      <c r="J736" s="15"/>
      <c r="K736" s="15"/>
      <c r="L736" s="15"/>
    </row>
    <row r="737" spans="1:12" ht="15.75" customHeight="1">
      <c r="A737" s="7"/>
      <c r="J737" s="15"/>
      <c r="K737" s="15"/>
      <c r="L737" s="15"/>
    </row>
    <row r="738" spans="1:12" ht="15.75" customHeight="1">
      <c r="A738" s="7"/>
      <c r="J738" s="15"/>
      <c r="K738" s="15"/>
      <c r="L738" s="15"/>
    </row>
    <row r="739" spans="1:12" ht="15.75" customHeight="1">
      <c r="A739" s="7"/>
      <c r="J739" s="15"/>
      <c r="K739" s="15"/>
      <c r="L739" s="15"/>
    </row>
    <row r="740" spans="1:12" ht="15.75" customHeight="1">
      <c r="A740" s="7"/>
      <c r="J740" s="15"/>
      <c r="K740" s="15"/>
      <c r="L740" s="15"/>
    </row>
    <row r="741" spans="1:12" ht="15.75" customHeight="1">
      <c r="A741" s="7"/>
      <c r="J741" s="15"/>
      <c r="K741" s="15"/>
      <c r="L741" s="15"/>
    </row>
    <row r="742" spans="1:12" ht="15.75" customHeight="1">
      <c r="A742" s="7"/>
      <c r="J742" s="15"/>
      <c r="K742" s="15"/>
      <c r="L742" s="15"/>
    </row>
    <row r="743" spans="1:12" ht="15.75" customHeight="1">
      <c r="A743" s="7"/>
      <c r="J743" s="15"/>
      <c r="K743" s="15"/>
      <c r="L743" s="15"/>
    </row>
    <row r="744" spans="1:12" ht="15.75" customHeight="1">
      <c r="A744" s="7"/>
      <c r="J744" s="15"/>
      <c r="K744" s="15"/>
      <c r="L744" s="15"/>
    </row>
    <row r="745" spans="1:12" ht="15.75" customHeight="1">
      <c r="A745" s="7"/>
      <c r="J745" s="15"/>
      <c r="K745" s="15"/>
      <c r="L745" s="15"/>
    </row>
    <row r="746" spans="1:12" ht="15.75" customHeight="1">
      <c r="A746" s="7"/>
      <c r="J746" s="15"/>
      <c r="K746" s="15"/>
      <c r="L746" s="15"/>
    </row>
    <row r="747" spans="1:12" ht="15.75" customHeight="1">
      <c r="A747" s="7"/>
      <c r="J747" s="15"/>
      <c r="K747" s="15"/>
      <c r="L747" s="15"/>
    </row>
    <row r="748" spans="1:12" ht="15.75" customHeight="1">
      <c r="A748" s="7"/>
      <c r="J748" s="15"/>
      <c r="K748" s="15"/>
      <c r="L748" s="15"/>
    </row>
    <row r="749" spans="1:12" ht="15.75" customHeight="1">
      <c r="A749" s="7"/>
      <c r="J749" s="15"/>
      <c r="K749" s="15"/>
      <c r="L749" s="15"/>
    </row>
    <row r="750" spans="1:12" ht="15.75" customHeight="1">
      <c r="A750" s="7"/>
      <c r="J750" s="15"/>
      <c r="K750" s="15"/>
      <c r="L750" s="15"/>
    </row>
    <row r="751" spans="1:12" ht="15.75" customHeight="1">
      <c r="A751" s="7"/>
      <c r="J751" s="15"/>
      <c r="K751" s="15"/>
      <c r="L751" s="15"/>
    </row>
    <row r="752" spans="1:12" ht="15.75" customHeight="1">
      <c r="A752" s="7"/>
      <c r="J752" s="15"/>
      <c r="K752" s="15"/>
      <c r="L752" s="15"/>
    </row>
    <row r="753" spans="1:12" ht="15.75" customHeight="1">
      <c r="A753" s="7"/>
      <c r="J753" s="15"/>
      <c r="K753" s="15"/>
      <c r="L753" s="15"/>
    </row>
    <row r="754" spans="1:12" ht="15.75" customHeight="1">
      <c r="A754" s="7"/>
      <c r="J754" s="15"/>
      <c r="K754" s="15"/>
      <c r="L754" s="15"/>
    </row>
    <row r="755" spans="1:12" ht="15.75" customHeight="1">
      <c r="A755" s="7"/>
      <c r="J755" s="15"/>
      <c r="K755" s="15"/>
      <c r="L755" s="15"/>
    </row>
    <row r="756" spans="1:12" ht="15.75" customHeight="1">
      <c r="A756" s="7"/>
      <c r="J756" s="15"/>
      <c r="K756" s="15"/>
      <c r="L756" s="15"/>
    </row>
    <row r="757" spans="1:12" ht="15.75" customHeight="1">
      <c r="A757" s="7"/>
      <c r="J757" s="15"/>
      <c r="K757" s="15"/>
      <c r="L757" s="15"/>
    </row>
    <row r="758" spans="1:12" ht="15.75" customHeight="1">
      <c r="A758" s="7"/>
      <c r="J758" s="15"/>
      <c r="K758" s="15"/>
      <c r="L758" s="15"/>
    </row>
    <row r="759" spans="1:12" ht="15.75" customHeight="1">
      <c r="A759" s="7"/>
      <c r="J759" s="15"/>
      <c r="K759" s="15"/>
      <c r="L759" s="15"/>
    </row>
    <row r="760" spans="1:12" ht="15.75" customHeight="1">
      <c r="A760" s="7"/>
      <c r="J760" s="15"/>
      <c r="K760" s="15"/>
      <c r="L760" s="15"/>
    </row>
    <row r="761" spans="1:12" ht="15.75" customHeight="1">
      <c r="A761" s="7"/>
      <c r="J761" s="15"/>
      <c r="K761" s="15"/>
      <c r="L761" s="15"/>
    </row>
    <row r="762" spans="1:12" ht="15.75" customHeight="1">
      <c r="A762" s="7"/>
      <c r="J762" s="15"/>
      <c r="K762" s="15"/>
      <c r="L762" s="15"/>
    </row>
    <row r="763" spans="1:12" ht="15.75" customHeight="1">
      <c r="A763" s="7"/>
      <c r="J763" s="15"/>
      <c r="K763" s="15"/>
      <c r="L763" s="15"/>
    </row>
    <row r="764" spans="1:12" ht="15.75" customHeight="1">
      <c r="A764" s="7"/>
      <c r="J764" s="15"/>
      <c r="K764" s="15"/>
      <c r="L764" s="15"/>
    </row>
    <row r="765" spans="1:12" ht="15.75" customHeight="1">
      <c r="A765" s="7"/>
      <c r="J765" s="15"/>
      <c r="K765" s="15"/>
      <c r="L765" s="15"/>
    </row>
    <row r="766" spans="1:12" ht="15.75" customHeight="1">
      <c r="A766" s="7"/>
      <c r="J766" s="15"/>
      <c r="K766" s="15"/>
      <c r="L766" s="15"/>
    </row>
    <row r="767" spans="1:12" ht="15.75" customHeight="1">
      <c r="A767" s="7"/>
      <c r="J767" s="15"/>
      <c r="K767" s="15"/>
      <c r="L767" s="15"/>
    </row>
    <row r="768" spans="1:12" ht="15.75" customHeight="1">
      <c r="A768" s="7"/>
      <c r="J768" s="15"/>
      <c r="K768" s="15"/>
      <c r="L768" s="15"/>
    </row>
    <row r="769" spans="1:12" ht="15.75" customHeight="1">
      <c r="A769" s="7"/>
      <c r="J769" s="15"/>
      <c r="K769" s="15"/>
      <c r="L769" s="15"/>
    </row>
    <row r="770" spans="1:12" ht="15.75" customHeight="1">
      <c r="A770" s="7"/>
      <c r="J770" s="15"/>
      <c r="K770" s="15"/>
      <c r="L770" s="15"/>
    </row>
    <row r="771" spans="1:12" ht="15.75" customHeight="1">
      <c r="A771" s="7"/>
      <c r="J771" s="15"/>
      <c r="K771" s="15"/>
      <c r="L771" s="15"/>
    </row>
    <row r="772" spans="1:12" ht="15.75" customHeight="1">
      <c r="A772" s="7"/>
      <c r="J772" s="15"/>
      <c r="K772" s="15"/>
      <c r="L772" s="15"/>
    </row>
    <row r="773" spans="1:12" ht="15.75" customHeight="1">
      <c r="A773" s="7"/>
      <c r="J773" s="15"/>
      <c r="K773" s="15"/>
      <c r="L773" s="15"/>
    </row>
    <row r="774" spans="1:12" ht="15.75" customHeight="1">
      <c r="A774" s="7"/>
      <c r="J774" s="15"/>
      <c r="K774" s="15"/>
      <c r="L774" s="15"/>
    </row>
    <row r="775" spans="1:12" ht="15.75" customHeight="1">
      <c r="A775" s="7"/>
      <c r="J775" s="15"/>
      <c r="K775" s="15"/>
      <c r="L775" s="15"/>
    </row>
    <row r="776" spans="1:12" ht="15.75" customHeight="1">
      <c r="A776" s="7"/>
      <c r="J776" s="15"/>
      <c r="K776" s="15"/>
      <c r="L776" s="15"/>
    </row>
    <row r="777" spans="1:12" ht="15.75" customHeight="1">
      <c r="A777" s="7"/>
      <c r="J777" s="15"/>
      <c r="K777" s="15"/>
      <c r="L777" s="15"/>
    </row>
    <row r="778" spans="1:12" ht="15.75" customHeight="1">
      <c r="A778" s="7"/>
      <c r="J778" s="15"/>
      <c r="K778" s="15"/>
      <c r="L778" s="15"/>
    </row>
    <row r="779" spans="1:12" ht="15.75" customHeight="1">
      <c r="A779" s="7"/>
      <c r="J779" s="15"/>
      <c r="K779" s="15"/>
      <c r="L779" s="15"/>
    </row>
    <row r="780" spans="1:12" ht="15.75" customHeight="1">
      <c r="A780" s="7"/>
      <c r="J780" s="15"/>
      <c r="K780" s="15"/>
      <c r="L780" s="15"/>
    </row>
    <row r="781" spans="1:12" ht="15.75" customHeight="1">
      <c r="A781" s="7"/>
      <c r="J781" s="15"/>
      <c r="K781" s="15"/>
      <c r="L781" s="15"/>
    </row>
    <row r="782" spans="1:12" ht="15.75" customHeight="1">
      <c r="A782" s="7"/>
      <c r="J782" s="15"/>
      <c r="K782" s="15"/>
      <c r="L782" s="15"/>
    </row>
    <row r="783" spans="1:12" ht="15.75" customHeight="1">
      <c r="A783" s="7"/>
      <c r="J783" s="15"/>
      <c r="K783" s="15"/>
      <c r="L783" s="15"/>
    </row>
    <row r="784" spans="1:12" ht="15.75" customHeight="1">
      <c r="A784" s="7"/>
      <c r="J784" s="15"/>
      <c r="K784" s="15"/>
      <c r="L784" s="15"/>
    </row>
    <row r="785" spans="1:12" ht="15.75" customHeight="1">
      <c r="A785" s="7"/>
      <c r="J785" s="15"/>
      <c r="K785" s="15"/>
      <c r="L785" s="15"/>
    </row>
    <row r="786" spans="1:12" ht="15.75" customHeight="1">
      <c r="A786" s="7"/>
      <c r="J786" s="15"/>
      <c r="K786" s="15"/>
      <c r="L786" s="15"/>
    </row>
    <row r="787" spans="1:12" ht="15.75" customHeight="1">
      <c r="A787" s="7"/>
      <c r="J787" s="15"/>
      <c r="K787" s="15"/>
      <c r="L787" s="15"/>
    </row>
    <row r="788" spans="1:12" ht="15.75" customHeight="1">
      <c r="A788" s="7"/>
      <c r="J788" s="15"/>
      <c r="K788" s="15"/>
      <c r="L788" s="15"/>
    </row>
    <row r="789" spans="1:12" ht="15.75" customHeight="1">
      <c r="A789" s="7"/>
      <c r="J789" s="15"/>
      <c r="K789" s="15"/>
      <c r="L789" s="15"/>
    </row>
    <row r="790" spans="1:12" ht="15.75" customHeight="1">
      <c r="A790" s="7"/>
      <c r="J790" s="15"/>
      <c r="K790" s="15"/>
      <c r="L790" s="15"/>
    </row>
    <row r="791" spans="1:12" ht="15.75" customHeight="1">
      <c r="A791" s="7"/>
      <c r="J791" s="15"/>
      <c r="K791" s="15"/>
      <c r="L791" s="15"/>
    </row>
    <row r="792" spans="1:12" ht="15.75" customHeight="1">
      <c r="A792" s="7"/>
      <c r="J792" s="15"/>
      <c r="K792" s="15"/>
      <c r="L792" s="15"/>
    </row>
    <row r="793" spans="1:12" ht="15.75" customHeight="1">
      <c r="A793" s="7"/>
      <c r="J793" s="15"/>
      <c r="K793" s="15"/>
      <c r="L793" s="15"/>
    </row>
    <row r="794" spans="1:12" ht="15.75" customHeight="1">
      <c r="A794" s="7"/>
      <c r="J794" s="15"/>
      <c r="K794" s="15"/>
      <c r="L794" s="15"/>
    </row>
    <row r="795" spans="1:12" ht="15.75" customHeight="1">
      <c r="A795" s="7"/>
      <c r="J795" s="15"/>
      <c r="K795" s="15"/>
      <c r="L795" s="15"/>
    </row>
    <row r="796" spans="1:12" ht="15.75" customHeight="1">
      <c r="A796" s="7"/>
      <c r="J796" s="15"/>
      <c r="K796" s="15"/>
      <c r="L796" s="15"/>
    </row>
    <row r="797" spans="1:12" ht="15.75" customHeight="1">
      <c r="A797" s="7"/>
      <c r="J797" s="15"/>
      <c r="K797" s="15"/>
      <c r="L797" s="15"/>
    </row>
    <row r="798" spans="1:12" ht="15.75" customHeight="1">
      <c r="A798" s="7"/>
      <c r="J798" s="15"/>
      <c r="K798" s="15"/>
      <c r="L798" s="15"/>
    </row>
    <row r="799" spans="1:12" ht="15.75" customHeight="1">
      <c r="A799" s="7"/>
      <c r="J799" s="15"/>
      <c r="K799" s="15"/>
      <c r="L799" s="15"/>
    </row>
    <row r="800" spans="1:12" ht="15.75" customHeight="1">
      <c r="A800" s="7"/>
      <c r="J800" s="15"/>
      <c r="K800" s="15"/>
      <c r="L800" s="15"/>
    </row>
    <row r="801" spans="1:12" ht="15.75" customHeight="1">
      <c r="A801" s="7"/>
      <c r="J801" s="15"/>
      <c r="K801" s="15"/>
      <c r="L801" s="15"/>
    </row>
    <row r="802" spans="1:12" ht="15.75" customHeight="1">
      <c r="A802" s="7"/>
      <c r="J802" s="15"/>
      <c r="K802" s="15"/>
      <c r="L802" s="15"/>
    </row>
    <row r="803" spans="1:12" ht="15.75" customHeight="1">
      <c r="A803" s="7"/>
      <c r="J803" s="15"/>
      <c r="K803" s="15"/>
      <c r="L803" s="15"/>
    </row>
    <row r="804" spans="1:12" ht="15.75" customHeight="1">
      <c r="A804" s="7"/>
      <c r="J804" s="15"/>
      <c r="K804" s="15"/>
      <c r="L804" s="15"/>
    </row>
    <row r="805" spans="1:12" ht="15.75" customHeight="1">
      <c r="A805" s="7"/>
      <c r="J805" s="15"/>
      <c r="K805" s="15"/>
      <c r="L805" s="15"/>
    </row>
    <row r="806" spans="1:12" ht="15.75" customHeight="1">
      <c r="A806" s="7"/>
      <c r="J806" s="15"/>
      <c r="K806" s="15"/>
      <c r="L806" s="15"/>
    </row>
    <row r="807" spans="1:12" ht="15.75" customHeight="1">
      <c r="A807" s="7"/>
      <c r="J807" s="15"/>
      <c r="K807" s="15"/>
      <c r="L807" s="15"/>
    </row>
    <row r="808" spans="1:12" ht="15.75" customHeight="1">
      <c r="A808" s="7"/>
      <c r="J808" s="15"/>
      <c r="K808" s="15"/>
      <c r="L808" s="15"/>
    </row>
    <row r="809" spans="1:12" ht="15.75" customHeight="1">
      <c r="A809" s="7"/>
      <c r="J809" s="15"/>
      <c r="K809" s="15"/>
      <c r="L809" s="15"/>
    </row>
    <row r="810" spans="1:12" ht="15.75" customHeight="1">
      <c r="A810" s="7"/>
      <c r="J810" s="15"/>
      <c r="K810" s="15"/>
      <c r="L810" s="15"/>
    </row>
    <row r="811" spans="1:12" ht="15.75" customHeight="1">
      <c r="A811" s="7"/>
      <c r="J811" s="15"/>
      <c r="K811" s="15"/>
      <c r="L811" s="15"/>
    </row>
    <row r="812" spans="1:12" ht="15.75" customHeight="1">
      <c r="A812" s="7"/>
      <c r="J812" s="15"/>
      <c r="K812" s="15"/>
      <c r="L812" s="15"/>
    </row>
    <row r="813" spans="1:12" ht="15.75" customHeight="1">
      <c r="A813" s="7"/>
      <c r="J813" s="15"/>
      <c r="K813" s="15"/>
      <c r="L813" s="15"/>
    </row>
    <row r="814" spans="1:12" ht="15.75" customHeight="1">
      <c r="A814" s="7"/>
      <c r="J814" s="15"/>
      <c r="K814" s="15"/>
      <c r="L814" s="15"/>
    </row>
    <row r="815" spans="1:12" ht="15.75" customHeight="1">
      <c r="A815" s="7"/>
      <c r="J815" s="15"/>
      <c r="K815" s="15"/>
      <c r="L815" s="15"/>
    </row>
    <row r="816" spans="1:12" ht="15.75" customHeight="1">
      <c r="A816" s="7"/>
      <c r="J816" s="15"/>
      <c r="K816" s="15"/>
      <c r="L816" s="15"/>
    </row>
    <row r="817" spans="1:12" ht="15.75" customHeight="1">
      <c r="A817" s="7"/>
      <c r="J817" s="15"/>
      <c r="K817" s="15"/>
      <c r="L817" s="15"/>
    </row>
    <row r="818" spans="1:12" ht="15.75" customHeight="1">
      <c r="A818" s="7"/>
      <c r="J818" s="15"/>
      <c r="K818" s="15"/>
      <c r="L818" s="15"/>
    </row>
    <row r="819" spans="1:12" ht="15.75" customHeight="1">
      <c r="A819" s="7"/>
      <c r="J819" s="15"/>
      <c r="K819" s="15"/>
      <c r="L819" s="15"/>
    </row>
    <row r="820" spans="1:12" ht="15.75" customHeight="1">
      <c r="A820" s="7"/>
      <c r="J820" s="15"/>
      <c r="K820" s="15"/>
      <c r="L820" s="15"/>
    </row>
    <row r="821" spans="1:12" ht="15.75" customHeight="1">
      <c r="A821" s="7"/>
      <c r="J821" s="15"/>
      <c r="K821" s="15"/>
      <c r="L821" s="15"/>
    </row>
    <row r="822" spans="1:12" ht="15.75" customHeight="1">
      <c r="A822" s="7"/>
      <c r="J822" s="15"/>
      <c r="K822" s="15"/>
      <c r="L822" s="15"/>
    </row>
    <row r="823" spans="1:12" ht="15.75" customHeight="1">
      <c r="A823" s="7"/>
      <c r="J823" s="15"/>
      <c r="K823" s="15"/>
      <c r="L823" s="15"/>
    </row>
    <row r="824" spans="1:12" ht="15.75" customHeight="1">
      <c r="A824" s="7"/>
      <c r="J824" s="15"/>
      <c r="K824" s="15"/>
      <c r="L824" s="15"/>
    </row>
    <row r="825" spans="1:12" ht="15.75" customHeight="1">
      <c r="A825" s="7"/>
      <c r="J825" s="15"/>
      <c r="K825" s="15"/>
      <c r="L825" s="15"/>
    </row>
    <row r="826" spans="1:12" ht="15.75" customHeight="1">
      <c r="A826" s="7"/>
      <c r="J826" s="15"/>
      <c r="K826" s="15"/>
      <c r="L826" s="15"/>
    </row>
    <row r="827" spans="1:12" ht="15.75" customHeight="1">
      <c r="A827" s="7"/>
      <c r="J827" s="15"/>
      <c r="K827" s="15"/>
      <c r="L827" s="15"/>
    </row>
    <row r="828" spans="1:12" ht="15.75" customHeight="1">
      <c r="A828" s="7"/>
      <c r="J828" s="15"/>
      <c r="K828" s="15"/>
      <c r="L828" s="15"/>
    </row>
    <row r="829" spans="1:12" ht="15.75" customHeight="1">
      <c r="A829" s="7"/>
      <c r="J829" s="15"/>
      <c r="K829" s="15"/>
      <c r="L829" s="15"/>
    </row>
    <row r="830" spans="1:12" ht="15.75" customHeight="1">
      <c r="A830" s="7"/>
      <c r="J830" s="15"/>
      <c r="K830" s="15"/>
      <c r="L830" s="15"/>
    </row>
    <row r="831" spans="1:12" ht="15.75" customHeight="1">
      <c r="A831" s="7"/>
      <c r="J831" s="15"/>
      <c r="K831" s="15"/>
      <c r="L831" s="15"/>
    </row>
    <row r="832" spans="1:12" ht="15.75" customHeight="1">
      <c r="A832" s="7"/>
      <c r="J832" s="15"/>
      <c r="K832" s="15"/>
      <c r="L832" s="15"/>
    </row>
    <row r="833" spans="1:12" ht="15.75" customHeight="1">
      <c r="A833" s="7"/>
      <c r="J833" s="15"/>
      <c r="K833" s="15"/>
      <c r="L833" s="15"/>
    </row>
    <row r="834" spans="1:12" ht="15.75" customHeight="1">
      <c r="A834" s="7"/>
      <c r="J834" s="15"/>
      <c r="K834" s="15"/>
      <c r="L834" s="15"/>
    </row>
    <row r="835" spans="1:12" ht="15.75" customHeight="1">
      <c r="A835" s="7"/>
      <c r="J835" s="15"/>
      <c r="K835" s="15"/>
      <c r="L835" s="15"/>
    </row>
    <row r="836" spans="1:12" ht="15.75" customHeight="1">
      <c r="A836" s="7"/>
      <c r="J836" s="15"/>
      <c r="K836" s="15"/>
      <c r="L836" s="15"/>
    </row>
    <row r="837" spans="1:12" ht="15.75" customHeight="1">
      <c r="A837" s="7"/>
      <c r="J837" s="15"/>
      <c r="K837" s="15"/>
      <c r="L837" s="15"/>
    </row>
    <row r="838" spans="1:12" ht="15.75" customHeight="1">
      <c r="A838" s="7"/>
      <c r="J838" s="15"/>
      <c r="K838" s="15"/>
      <c r="L838" s="15"/>
    </row>
    <row r="839" spans="1:12" ht="15.75" customHeight="1">
      <c r="A839" s="7"/>
      <c r="J839" s="15"/>
      <c r="K839" s="15"/>
      <c r="L839" s="15"/>
    </row>
    <row r="840" spans="1:12" ht="15.75" customHeight="1">
      <c r="A840" s="7"/>
      <c r="J840" s="15"/>
      <c r="K840" s="15"/>
      <c r="L840" s="15"/>
    </row>
    <row r="841" spans="1:12" ht="15.75" customHeight="1">
      <c r="A841" s="7"/>
      <c r="J841" s="15"/>
      <c r="K841" s="15"/>
      <c r="L841" s="15"/>
    </row>
    <row r="842" spans="1:12" ht="15.75" customHeight="1">
      <c r="A842" s="7"/>
      <c r="J842" s="15"/>
      <c r="K842" s="15"/>
      <c r="L842" s="15"/>
    </row>
    <row r="843" spans="1:12" ht="15.75" customHeight="1">
      <c r="A843" s="7"/>
      <c r="J843" s="15"/>
      <c r="K843" s="15"/>
      <c r="L843" s="15"/>
    </row>
    <row r="844" spans="1:12" ht="15.75" customHeight="1">
      <c r="A844" s="7"/>
      <c r="J844" s="15"/>
      <c r="K844" s="15"/>
      <c r="L844" s="15"/>
    </row>
    <row r="845" spans="1:12" ht="15.75" customHeight="1">
      <c r="A845" s="7"/>
      <c r="J845" s="15"/>
      <c r="K845" s="15"/>
      <c r="L845" s="15"/>
    </row>
    <row r="846" spans="1:12" ht="15.75" customHeight="1">
      <c r="A846" s="7"/>
      <c r="J846" s="15"/>
      <c r="K846" s="15"/>
      <c r="L846" s="15"/>
    </row>
    <row r="847" spans="1:12" ht="15.75" customHeight="1">
      <c r="A847" s="7"/>
      <c r="J847" s="15"/>
      <c r="K847" s="15"/>
      <c r="L847" s="15"/>
    </row>
    <row r="848" spans="1:12" ht="15.75" customHeight="1">
      <c r="A848" s="7"/>
      <c r="J848" s="15"/>
      <c r="K848" s="15"/>
      <c r="L848" s="15"/>
    </row>
    <row r="849" spans="1:12" ht="15.75" customHeight="1">
      <c r="A849" s="7"/>
      <c r="J849" s="15"/>
      <c r="K849" s="15"/>
      <c r="L849" s="15"/>
    </row>
    <row r="850" spans="1:12" ht="15.75" customHeight="1">
      <c r="A850" s="7"/>
      <c r="J850" s="15"/>
      <c r="K850" s="15"/>
      <c r="L850" s="15"/>
    </row>
    <row r="851" spans="1:12" ht="15.75" customHeight="1">
      <c r="A851" s="7"/>
      <c r="J851" s="15"/>
      <c r="K851" s="15"/>
      <c r="L851" s="15"/>
    </row>
    <row r="852" spans="1:12" ht="15.75" customHeight="1">
      <c r="A852" s="7"/>
      <c r="J852" s="15"/>
      <c r="K852" s="15"/>
      <c r="L852" s="15"/>
    </row>
    <row r="853" spans="1:12" ht="15.75" customHeight="1">
      <c r="A853" s="7"/>
      <c r="J853" s="15"/>
      <c r="K853" s="15"/>
      <c r="L853" s="15"/>
    </row>
    <row r="854" spans="1:12" ht="15.75" customHeight="1">
      <c r="A854" s="7"/>
      <c r="J854" s="15"/>
      <c r="K854" s="15"/>
      <c r="L854" s="15"/>
    </row>
    <row r="855" spans="1:12" ht="15.75" customHeight="1">
      <c r="A855" s="7"/>
      <c r="J855" s="15"/>
      <c r="K855" s="15"/>
      <c r="L855" s="15"/>
    </row>
    <row r="856" spans="1:12" ht="15.75" customHeight="1">
      <c r="A856" s="7"/>
      <c r="J856" s="15"/>
      <c r="K856" s="15"/>
      <c r="L856" s="15"/>
    </row>
    <row r="857" spans="1:12" ht="15.75" customHeight="1">
      <c r="A857" s="7"/>
      <c r="J857" s="15"/>
      <c r="K857" s="15"/>
      <c r="L857" s="15"/>
    </row>
    <row r="858" spans="1:12" ht="15.75" customHeight="1">
      <c r="A858" s="7"/>
      <c r="J858" s="15"/>
      <c r="K858" s="15"/>
      <c r="L858" s="15"/>
    </row>
    <row r="859" spans="1:12" ht="15.75" customHeight="1">
      <c r="A859" s="7"/>
      <c r="J859" s="15"/>
      <c r="K859" s="15"/>
      <c r="L859" s="15"/>
    </row>
    <row r="860" spans="1:12" ht="15.75" customHeight="1">
      <c r="A860" s="7"/>
      <c r="J860" s="15"/>
      <c r="K860" s="15"/>
      <c r="L860" s="15"/>
    </row>
    <row r="861" spans="1:12" ht="15.75" customHeight="1">
      <c r="A861" s="7"/>
      <c r="J861" s="15"/>
      <c r="K861" s="15"/>
      <c r="L861" s="15"/>
    </row>
    <row r="862" spans="1:12" ht="15.75" customHeight="1">
      <c r="A862" s="7"/>
      <c r="J862" s="15"/>
      <c r="K862" s="15"/>
      <c r="L862" s="15"/>
    </row>
    <row r="863" spans="1:12" ht="15.75" customHeight="1">
      <c r="A863" s="7"/>
      <c r="J863" s="15"/>
      <c r="K863" s="15"/>
      <c r="L863" s="15"/>
    </row>
    <row r="864" spans="1:12" ht="15.75" customHeight="1">
      <c r="A864" s="7"/>
      <c r="J864" s="15"/>
      <c r="K864" s="15"/>
      <c r="L864" s="15"/>
    </row>
    <row r="865" spans="1:12" ht="15.75" customHeight="1">
      <c r="A865" s="7"/>
      <c r="J865" s="15"/>
      <c r="K865" s="15"/>
      <c r="L865" s="15"/>
    </row>
    <row r="866" spans="1:12" ht="15.75" customHeight="1">
      <c r="A866" s="7"/>
      <c r="J866" s="15"/>
      <c r="K866" s="15"/>
      <c r="L866" s="15"/>
    </row>
    <row r="867" spans="1:12" ht="15.75" customHeight="1">
      <c r="A867" s="7"/>
      <c r="J867" s="15"/>
      <c r="K867" s="15"/>
      <c r="L867" s="15"/>
    </row>
    <row r="868" spans="1:12" ht="15.75" customHeight="1">
      <c r="A868" s="7"/>
      <c r="J868" s="15"/>
      <c r="K868" s="15"/>
      <c r="L868" s="15"/>
    </row>
    <row r="869" spans="1:12" ht="15.75" customHeight="1">
      <c r="A869" s="7"/>
      <c r="J869" s="15"/>
      <c r="K869" s="15"/>
      <c r="L869" s="15"/>
    </row>
    <row r="870" spans="1:12" ht="15.75" customHeight="1">
      <c r="A870" s="7"/>
      <c r="J870" s="15"/>
      <c r="K870" s="15"/>
      <c r="L870" s="15"/>
    </row>
    <row r="871" spans="1:12" ht="15.75" customHeight="1">
      <c r="A871" s="7"/>
      <c r="J871" s="15"/>
      <c r="K871" s="15"/>
      <c r="L871" s="15"/>
    </row>
    <row r="872" spans="1:12" ht="15.75" customHeight="1">
      <c r="A872" s="7"/>
      <c r="J872" s="15"/>
      <c r="K872" s="15"/>
      <c r="L872" s="15"/>
    </row>
    <row r="873" spans="1:12" ht="15.75" customHeight="1">
      <c r="A873" s="7"/>
      <c r="J873" s="15"/>
      <c r="K873" s="15"/>
      <c r="L873" s="15"/>
    </row>
    <row r="874" spans="1:12" ht="15.75" customHeight="1">
      <c r="A874" s="7"/>
      <c r="J874" s="15"/>
      <c r="K874" s="15"/>
      <c r="L874" s="15"/>
    </row>
    <row r="875" spans="1:12" ht="15.75" customHeight="1">
      <c r="A875" s="7"/>
      <c r="J875" s="15"/>
      <c r="K875" s="15"/>
      <c r="L875" s="15"/>
    </row>
    <row r="876" spans="1:12" ht="15.75" customHeight="1">
      <c r="A876" s="7"/>
      <c r="J876" s="15"/>
      <c r="K876" s="15"/>
      <c r="L876" s="15"/>
    </row>
    <row r="877" spans="1:12" ht="15.75" customHeight="1">
      <c r="A877" s="7"/>
      <c r="J877" s="15"/>
      <c r="K877" s="15"/>
      <c r="L877" s="15"/>
    </row>
    <row r="878" spans="1:12" ht="15.75" customHeight="1">
      <c r="A878" s="7"/>
      <c r="J878" s="15"/>
      <c r="K878" s="15"/>
      <c r="L878" s="15"/>
    </row>
    <row r="879" spans="1:12" ht="15.75" customHeight="1">
      <c r="A879" s="7"/>
      <c r="J879" s="15"/>
      <c r="K879" s="15"/>
      <c r="L879" s="15"/>
    </row>
    <row r="880" spans="1:12" ht="15.75" customHeight="1">
      <c r="A880" s="7"/>
      <c r="J880" s="15"/>
      <c r="K880" s="15"/>
      <c r="L880" s="15"/>
    </row>
    <row r="881" spans="1:12" ht="15.75" customHeight="1">
      <c r="A881" s="7"/>
      <c r="J881" s="15"/>
      <c r="K881" s="15"/>
      <c r="L881" s="15"/>
    </row>
    <row r="882" spans="1:12" ht="15.75" customHeight="1">
      <c r="A882" s="7"/>
      <c r="J882" s="15"/>
      <c r="K882" s="15"/>
      <c r="L882" s="15"/>
    </row>
    <row r="883" spans="1:12" ht="15.75" customHeight="1">
      <c r="A883" s="7"/>
      <c r="J883" s="15"/>
      <c r="K883" s="15"/>
      <c r="L883" s="15"/>
    </row>
    <row r="884" spans="1:12" ht="15.75" customHeight="1">
      <c r="A884" s="7"/>
      <c r="J884" s="15"/>
      <c r="K884" s="15"/>
      <c r="L884" s="15"/>
    </row>
    <row r="885" spans="1:12" ht="15.75" customHeight="1">
      <c r="A885" s="7"/>
      <c r="J885" s="15"/>
      <c r="K885" s="15"/>
      <c r="L885" s="15"/>
    </row>
    <row r="886" spans="1:12" ht="15.75" customHeight="1">
      <c r="A886" s="7"/>
      <c r="J886" s="15"/>
      <c r="K886" s="15"/>
      <c r="L886" s="15"/>
    </row>
    <row r="887" spans="1:12" ht="15.75" customHeight="1">
      <c r="A887" s="7"/>
      <c r="J887" s="15"/>
      <c r="K887" s="15"/>
      <c r="L887" s="15"/>
    </row>
    <row r="888" spans="1:12" ht="15.75" customHeight="1">
      <c r="A888" s="7"/>
      <c r="J888" s="15"/>
      <c r="K888" s="15"/>
      <c r="L888" s="15"/>
    </row>
    <row r="889" spans="1:12" ht="15.75" customHeight="1">
      <c r="A889" s="7"/>
      <c r="J889" s="15"/>
      <c r="K889" s="15"/>
      <c r="L889" s="15"/>
    </row>
    <row r="890" spans="1:12" ht="15.75" customHeight="1">
      <c r="A890" s="7"/>
      <c r="J890" s="15"/>
      <c r="K890" s="15"/>
      <c r="L890" s="15"/>
    </row>
    <row r="891" spans="1:12" ht="15.75" customHeight="1">
      <c r="A891" s="7"/>
      <c r="J891" s="15"/>
      <c r="K891" s="15"/>
      <c r="L891" s="15"/>
    </row>
    <row r="892" spans="1:12" ht="15.75" customHeight="1">
      <c r="A892" s="7"/>
      <c r="J892" s="15"/>
      <c r="K892" s="15"/>
      <c r="L892" s="15"/>
    </row>
    <row r="893" spans="1:12" ht="15.75" customHeight="1">
      <c r="A893" s="7"/>
      <c r="J893" s="15"/>
      <c r="K893" s="15"/>
      <c r="L893" s="15"/>
    </row>
    <row r="894" spans="1:12" ht="15.75" customHeight="1">
      <c r="A894" s="7"/>
      <c r="J894" s="15"/>
      <c r="K894" s="15"/>
      <c r="L894" s="15"/>
    </row>
    <row r="895" spans="1:12" ht="15.75" customHeight="1">
      <c r="A895" s="7"/>
      <c r="J895" s="15"/>
      <c r="K895" s="15"/>
      <c r="L895" s="15"/>
    </row>
    <row r="896" spans="1:12" ht="15.75" customHeight="1">
      <c r="A896" s="7"/>
      <c r="J896" s="15"/>
      <c r="K896" s="15"/>
      <c r="L896" s="15"/>
    </row>
    <row r="897" spans="1:12" ht="15.75" customHeight="1">
      <c r="A897" s="7"/>
      <c r="J897" s="15"/>
      <c r="K897" s="15"/>
      <c r="L897" s="15"/>
    </row>
    <row r="898" spans="1:12" ht="15.75" customHeight="1">
      <c r="A898" s="7"/>
      <c r="J898" s="15"/>
      <c r="K898" s="15"/>
      <c r="L898" s="15"/>
    </row>
    <row r="899" spans="1:12" ht="15.75" customHeight="1">
      <c r="A899" s="7"/>
      <c r="J899" s="15"/>
      <c r="K899" s="15"/>
      <c r="L899" s="15"/>
    </row>
    <row r="900" spans="1:12" ht="15.75" customHeight="1">
      <c r="A900" s="7"/>
      <c r="J900" s="15"/>
      <c r="K900" s="15"/>
      <c r="L900" s="15"/>
    </row>
    <row r="901" spans="1:12" ht="15.75" customHeight="1">
      <c r="A901" s="7"/>
      <c r="J901" s="15"/>
      <c r="K901" s="15"/>
      <c r="L901" s="15"/>
    </row>
    <row r="902" spans="1:12" ht="15.75" customHeight="1">
      <c r="A902" s="7"/>
      <c r="J902" s="15"/>
      <c r="K902" s="15"/>
      <c r="L902" s="15"/>
    </row>
    <row r="903" spans="1:12" ht="15.75" customHeight="1">
      <c r="A903" s="7"/>
      <c r="J903" s="15"/>
      <c r="K903" s="15"/>
      <c r="L903" s="15"/>
    </row>
    <row r="904" spans="1:12" ht="15.75" customHeight="1">
      <c r="A904" s="7"/>
      <c r="J904" s="15"/>
      <c r="K904" s="15"/>
      <c r="L904" s="15"/>
    </row>
    <row r="905" spans="1:12" ht="15.75" customHeight="1">
      <c r="A905" s="7"/>
      <c r="J905" s="15"/>
      <c r="K905" s="15"/>
      <c r="L905" s="15"/>
    </row>
    <row r="906" spans="1:12" ht="15.75" customHeight="1">
      <c r="A906" s="7"/>
      <c r="J906" s="15"/>
      <c r="K906" s="15"/>
      <c r="L906" s="15"/>
    </row>
    <row r="907" spans="1:12" ht="15.75" customHeight="1">
      <c r="A907" s="7"/>
      <c r="J907" s="15"/>
      <c r="K907" s="15"/>
      <c r="L907" s="15"/>
    </row>
    <row r="908" spans="1:12" ht="15.75" customHeight="1">
      <c r="A908" s="7"/>
      <c r="J908" s="15"/>
      <c r="K908" s="15"/>
      <c r="L908" s="15"/>
    </row>
    <row r="909" spans="1:12" ht="15.75" customHeight="1">
      <c r="A909" s="7"/>
      <c r="J909" s="15"/>
      <c r="K909" s="15"/>
      <c r="L909" s="15"/>
    </row>
    <row r="910" spans="1:12" ht="15.75" customHeight="1">
      <c r="A910" s="7"/>
      <c r="J910" s="15"/>
      <c r="K910" s="15"/>
      <c r="L910" s="15"/>
    </row>
    <row r="911" spans="1:12" ht="15.75" customHeight="1">
      <c r="A911" s="7"/>
      <c r="J911" s="15"/>
      <c r="K911" s="15"/>
      <c r="L911" s="15"/>
    </row>
    <row r="912" spans="1:12" ht="15.75" customHeight="1">
      <c r="A912" s="7"/>
      <c r="J912" s="15"/>
      <c r="K912" s="15"/>
      <c r="L912" s="15"/>
    </row>
    <row r="913" spans="1:12" ht="15.75" customHeight="1">
      <c r="A913" s="7"/>
      <c r="J913" s="15"/>
      <c r="K913" s="15"/>
      <c r="L913" s="15"/>
    </row>
    <row r="914" spans="1:12" ht="15.75" customHeight="1">
      <c r="A914" s="7"/>
      <c r="J914" s="15"/>
      <c r="K914" s="15"/>
      <c r="L914" s="15"/>
    </row>
    <row r="915" spans="1:12" ht="15.75" customHeight="1">
      <c r="A915" s="7"/>
      <c r="J915" s="15"/>
      <c r="K915" s="15"/>
      <c r="L915" s="15"/>
    </row>
    <row r="916" spans="1:12" ht="15.75" customHeight="1">
      <c r="A916" s="7"/>
      <c r="J916" s="15"/>
      <c r="K916" s="15"/>
      <c r="L916" s="15"/>
    </row>
    <row r="917" spans="1:12" ht="15.75" customHeight="1">
      <c r="A917" s="7"/>
      <c r="J917" s="15"/>
      <c r="K917" s="15"/>
      <c r="L917" s="15"/>
    </row>
    <row r="918" spans="1:12" ht="15.75" customHeight="1">
      <c r="A918" s="7"/>
      <c r="J918" s="15"/>
      <c r="K918" s="15"/>
      <c r="L918" s="15"/>
    </row>
    <row r="919" spans="1:12" ht="15.75" customHeight="1">
      <c r="A919" s="7"/>
      <c r="J919" s="15"/>
      <c r="K919" s="15"/>
      <c r="L919" s="15"/>
    </row>
    <row r="920" spans="1:12" ht="15.75" customHeight="1">
      <c r="A920" s="7"/>
      <c r="J920" s="15"/>
      <c r="K920" s="15"/>
      <c r="L920" s="15"/>
    </row>
    <row r="921" spans="1:12" ht="15.75" customHeight="1">
      <c r="A921" s="7"/>
      <c r="J921" s="15"/>
      <c r="K921" s="15"/>
      <c r="L921" s="15"/>
    </row>
    <row r="922" spans="1:12" ht="15.75" customHeight="1">
      <c r="A922" s="7"/>
      <c r="J922" s="15"/>
      <c r="K922" s="15"/>
      <c r="L922" s="15"/>
    </row>
    <row r="923" spans="1:12" ht="15.75" customHeight="1">
      <c r="A923" s="7"/>
      <c r="J923" s="15"/>
      <c r="K923" s="15"/>
      <c r="L923" s="15"/>
    </row>
    <row r="924" spans="1:12" ht="15.75" customHeight="1">
      <c r="A924" s="7"/>
      <c r="J924" s="15"/>
      <c r="K924" s="15"/>
      <c r="L924" s="15"/>
    </row>
    <row r="925" spans="1:12" ht="15.75" customHeight="1">
      <c r="A925" s="7"/>
      <c r="J925" s="15"/>
      <c r="K925" s="15"/>
      <c r="L925" s="15"/>
    </row>
    <row r="926" spans="1:12" ht="15.75" customHeight="1">
      <c r="A926" s="7"/>
      <c r="J926" s="15"/>
      <c r="K926" s="15"/>
      <c r="L926" s="15"/>
    </row>
    <row r="927" spans="1:12" ht="15.75" customHeight="1">
      <c r="A927" s="7"/>
      <c r="J927" s="15"/>
      <c r="K927" s="15"/>
      <c r="L927" s="15"/>
    </row>
    <row r="928" spans="1:12" ht="15.75" customHeight="1">
      <c r="A928" s="7"/>
      <c r="J928" s="15"/>
      <c r="K928" s="15"/>
      <c r="L928" s="15"/>
    </row>
    <row r="929" spans="1:12" ht="15.75" customHeight="1">
      <c r="A929" s="7"/>
      <c r="J929" s="15"/>
      <c r="K929" s="15"/>
      <c r="L929" s="15"/>
    </row>
    <row r="930" spans="1:12" ht="15.75" customHeight="1">
      <c r="A930" s="7"/>
      <c r="J930" s="15"/>
      <c r="K930" s="15"/>
      <c r="L930" s="15"/>
    </row>
    <row r="931" spans="1:12" ht="15.75" customHeight="1">
      <c r="A931" s="7"/>
      <c r="J931" s="15"/>
      <c r="K931" s="15"/>
      <c r="L931" s="15"/>
    </row>
    <row r="932" spans="1:12" ht="15.75" customHeight="1">
      <c r="A932" s="7"/>
      <c r="J932" s="15"/>
      <c r="K932" s="15"/>
      <c r="L932" s="15"/>
    </row>
    <row r="933" spans="1:12" ht="15.75" customHeight="1">
      <c r="A933" s="7"/>
      <c r="J933" s="15"/>
      <c r="K933" s="15"/>
      <c r="L933" s="15"/>
    </row>
    <row r="934" spans="1:12" ht="15.75" customHeight="1">
      <c r="A934" s="7"/>
      <c r="J934" s="15"/>
      <c r="K934" s="15"/>
      <c r="L934" s="15"/>
    </row>
    <row r="935" spans="1:12" ht="15.75" customHeight="1">
      <c r="A935" s="7"/>
      <c r="J935" s="15"/>
      <c r="K935" s="15"/>
      <c r="L935" s="15"/>
    </row>
    <row r="936" spans="1:12" ht="15.75" customHeight="1">
      <c r="A936" s="7"/>
      <c r="J936" s="15"/>
      <c r="K936" s="15"/>
      <c r="L936" s="15"/>
    </row>
    <row r="937" spans="1:12" ht="15.75" customHeight="1">
      <c r="A937" s="7"/>
      <c r="J937" s="15"/>
      <c r="K937" s="15"/>
      <c r="L937" s="15"/>
    </row>
    <row r="938" spans="1:12" ht="15.75" customHeight="1">
      <c r="A938" s="7"/>
      <c r="J938" s="15"/>
      <c r="K938" s="15"/>
      <c r="L938" s="15"/>
    </row>
    <row r="939" spans="1:12" ht="15.75" customHeight="1">
      <c r="A939" s="7"/>
      <c r="J939" s="15"/>
      <c r="K939" s="15"/>
      <c r="L939" s="15"/>
    </row>
    <row r="940" spans="1:12" ht="15.75" customHeight="1">
      <c r="A940" s="7"/>
      <c r="J940" s="15"/>
      <c r="K940" s="15"/>
      <c r="L940" s="15"/>
    </row>
    <row r="941" spans="1:12" ht="15.75" customHeight="1">
      <c r="A941" s="7"/>
      <c r="J941" s="15"/>
      <c r="K941" s="15"/>
      <c r="L941" s="15"/>
    </row>
    <row r="942" spans="1:12" ht="15.75" customHeight="1">
      <c r="A942" s="7"/>
      <c r="J942" s="15"/>
      <c r="K942" s="15"/>
      <c r="L942" s="15"/>
    </row>
    <row r="943" spans="1:12" ht="15.75" customHeight="1">
      <c r="A943" s="7"/>
      <c r="J943" s="15"/>
      <c r="K943" s="15"/>
      <c r="L943" s="15"/>
    </row>
    <row r="944" spans="1:12" ht="15.75" customHeight="1">
      <c r="A944" s="7"/>
      <c r="J944" s="15"/>
      <c r="K944" s="15"/>
      <c r="L944" s="15"/>
    </row>
    <row r="945" spans="1:12" ht="15.75" customHeight="1">
      <c r="A945" s="7"/>
      <c r="J945" s="15"/>
      <c r="K945" s="15"/>
      <c r="L945" s="15"/>
    </row>
    <row r="946" spans="1:12" ht="15.75" customHeight="1">
      <c r="A946" s="7"/>
      <c r="J946" s="15"/>
      <c r="K946" s="15"/>
      <c r="L946" s="15"/>
    </row>
    <row r="947" spans="1:12" ht="15.75" customHeight="1">
      <c r="A947" s="7"/>
      <c r="J947" s="15"/>
      <c r="K947" s="15"/>
      <c r="L947" s="15"/>
    </row>
    <row r="948" spans="1:12" ht="15.75" customHeight="1">
      <c r="A948" s="7"/>
      <c r="J948" s="15"/>
      <c r="K948" s="15"/>
      <c r="L948" s="15"/>
    </row>
    <row r="949" spans="1:12" ht="15.75" customHeight="1">
      <c r="A949" s="7"/>
      <c r="J949" s="15"/>
      <c r="K949" s="15"/>
      <c r="L949" s="15"/>
    </row>
    <row r="950" spans="1:12" ht="15.75" customHeight="1">
      <c r="A950" s="7"/>
      <c r="J950" s="15"/>
      <c r="K950" s="15"/>
      <c r="L950" s="15"/>
    </row>
    <row r="951" spans="1:12" ht="15.75" customHeight="1">
      <c r="A951" s="7"/>
      <c r="J951" s="15"/>
      <c r="K951" s="15"/>
      <c r="L951" s="15"/>
    </row>
    <row r="952" spans="1:12" ht="15.75" customHeight="1">
      <c r="A952" s="7"/>
      <c r="J952" s="15"/>
      <c r="K952" s="15"/>
      <c r="L952" s="15"/>
    </row>
    <row r="953" spans="1:12" ht="15.75" customHeight="1">
      <c r="A953" s="7"/>
      <c r="J953" s="15"/>
      <c r="K953" s="15"/>
      <c r="L953" s="15"/>
    </row>
    <row r="954" spans="1:12" ht="15.75" customHeight="1">
      <c r="A954" s="7"/>
      <c r="J954" s="15"/>
      <c r="K954" s="15"/>
      <c r="L954" s="15"/>
    </row>
    <row r="955" spans="1:12" ht="15.75" customHeight="1">
      <c r="A955" s="7"/>
      <c r="J955" s="15"/>
      <c r="K955" s="15"/>
      <c r="L955" s="15"/>
    </row>
    <row r="956" spans="1:12" ht="15.75" customHeight="1">
      <c r="A956" s="7"/>
      <c r="J956" s="15"/>
      <c r="K956" s="15"/>
      <c r="L956" s="15"/>
    </row>
    <row r="957" spans="1:12" ht="15.75" customHeight="1">
      <c r="A957" s="7"/>
      <c r="J957" s="15"/>
      <c r="K957" s="15"/>
      <c r="L957" s="15"/>
    </row>
    <row r="958" spans="1:12" ht="15.75" customHeight="1">
      <c r="A958" s="7"/>
      <c r="J958" s="15"/>
      <c r="K958" s="15"/>
      <c r="L958" s="15"/>
    </row>
    <row r="959" spans="1:12" ht="15.75" customHeight="1">
      <c r="A959" s="7"/>
      <c r="J959" s="15"/>
      <c r="K959" s="15"/>
      <c r="L959" s="15"/>
    </row>
    <row r="960" spans="1:12" ht="15.75" customHeight="1">
      <c r="A960" s="7"/>
      <c r="J960" s="15"/>
      <c r="K960" s="15"/>
      <c r="L960" s="15"/>
    </row>
    <row r="961" spans="1:12" ht="15.75" customHeight="1">
      <c r="A961" s="7"/>
      <c r="J961" s="15"/>
      <c r="K961" s="15"/>
      <c r="L961" s="15"/>
    </row>
    <row r="962" spans="1:12" ht="15.75" customHeight="1">
      <c r="A962" s="7"/>
      <c r="J962" s="15"/>
      <c r="K962" s="15"/>
      <c r="L962" s="15"/>
    </row>
    <row r="963" spans="1:12" ht="15.75" customHeight="1">
      <c r="A963" s="7"/>
      <c r="J963" s="15"/>
      <c r="K963" s="15"/>
      <c r="L963" s="15"/>
    </row>
    <row r="964" spans="1:12" ht="15.75" customHeight="1">
      <c r="A964" s="7"/>
      <c r="J964" s="15"/>
      <c r="K964" s="15"/>
      <c r="L964" s="15"/>
    </row>
    <row r="965" spans="1:12" ht="15.75" customHeight="1">
      <c r="A965" s="7"/>
      <c r="J965" s="15"/>
      <c r="K965" s="15"/>
      <c r="L965" s="15"/>
    </row>
    <row r="966" spans="1:12" ht="15.75" customHeight="1">
      <c r="A966" s="7"/>
      <c r="J966" s="15"/>
      <c r="K966" s="15"/>
      <c r="L966" s="15"/>
    </row>
    <row r="967" spans="1:12" ht="15.75" customHeight="1">
      <c r="A967" s="7"/>
      <c r="J967" s="15"/>
      <c r="K967" s="15"/>
      <c r="L967" s="15"/>
    </row>
    <row r="968" spans="1:12" ht="15.75" customHeight="1">
      <c r="A968" s="7"/>
      <c r="J968" s="15"/>
      <c r="K968" s="15"/>
      <c r="L968" s="15"/>
    </row>
    <row r="969" spans="1:12" ht="15.75" customHeight="1">
      <c r="A969" s="7"/>
      <c r="J969" s="15"/>
      <c r="K969" s="15"/>
      <c r="L969" s="15"/>
    </row>
    <row r="970" spans="1:12" ht="15.75" customHeight="1">
      <c r="A970" s="7"/>
      <c r="J970" s="15"/>
      <c r="K970" s="15"/>
      <c r="L970" s="15"/>
    </row>
    <row r="971" spans="1:12" ht="15.75" customHeight="1">
      <c r="A971" s="7"/>
      <c r="J971" s="15"/>
      <c r="K971" s="15"/>
      <c r="L971" s="15"/>
    </row>
    <row r="972" spans="1:12" ht="15.75" customHeight="1">
      <c r="A972" s="7"/>
      <c r="J972" s="15"/>
      <c r="K972" s="15"/>
      <c r="L972" s="15"/>
    </row>
    <row r="973" spans="1:12" ht="15.75" customHeight="1">
      <c r="A973" s="7"/>
      <c r="J973" s="15"/>
      <c r="K973" s="15"/>
      <c r="L973" s="15"/>
    </row>
    <row r="974" spans="1:12" ht="15.75" customHeight="1">
      <c r="A974" s="7"/>
      <c r="J974" s="15"/>
      <c r="K974" s="15"/>
      <c r="L974" s="15"/>
    </row>
    <row r="975" spans="1:12" ht="15.75" customHeight="1">
      <c r="A975" s="7"/>
      <c r="J975" s="15"/>
      <c r="K975" s="15"/>
      <c r="L975" s="15"/>
    </row>
    <row r="976" spans="1:12" ht="15.75" customHeight="1">
      <c r="A976" s="7"/>
      <c r="J976" s="15"/>
      <c r="K976" s="15"/>
      <c r="L976" s="15"/>
    </row>
    <row r="977" spans="1:12" ht="15.75" customHeight="1">
      <c r="A977" s="7"/>
      <c r="J977" s="15"/>
      <c r="K977" s="15"/>
      <c r="L977" s="15"/>
    </row>
    <row r="978" spans="1:12" ht="15.75" customHeight="1">
      <c r="A978" s="7"/>
      <c r="J978" s="15"/>
      <c r="K978" s="15"/>
      <c r="L978" s="15"/>
    </row>
    <row r="979" spans="1:12" ht="15.75" customHeight="1">
      <c r="A979" s="7"/>
      <c r="J979" s="15"/>
      <c r="K979" s="15"/>
      <c r="L979" s="15"/>
    </row>
    <row r="980" spans="1:12" ht="15.75" customHeight="1">
      <c r="A980" s="7"/>
      <c r="J980" s="15"/>
      <c r="K980" s="15"/>
      <c r="L980" s="15"/>
    </row>
    <row r="981" spans="1:12" ht="15.75" customHeight="1">
      <c r="A981" s="7"/>
      <c r="J981" s="15"/>
      <c r="K981" s="15"/>
      <c r="L981" s="15"/>
    </row>
    <row r="982" spans="1:12" ht="15.75" customHeight="1">
      <c r="A982" s="7"/>
      <c r="J982" s="15"/>
      <c r="K982" s="15"/>
      <c r="L982" s="15"/>
    </row>
    <row r="983" spans="1:12" ht="15.75" customHeight="1">
      <c r="A983" s="7"/>
      <c r="J983" s="15"/>
      <c r="K983" s="15"/>
      <c r="L983" s="15"/>
    </row>
    <row r="984" spans="1:12" ht="15.75" customHeight="1">
      <c r="A984" s="7"/>
      <c r="J984" s="15"/>
      <c r="K984" s="15"/>
      <c r="L984" s="15"/>
    </row>
    <row r="985" spans="1:12" ht="15.75" customHeight="1">
      <c r="A985" s="7"/>
      <c r="J985" s="15"/>
      <c r="K985" s="15"/>
      <c r="L985" s="15"/>
    </row>
    <row r="986" spans="1:12" ht="15.75" customHeight="1">
      <c r="A986" s="7"/>
      <c r="J986" s="15"/>
      <c r="K986" s="15"/>
      <c r="L986" s="15"/>
    </row>
    <row r="987" spans="1:12" ht="15.75" customHeight="1">
      <c r="A987" s="7"/>
      <c r="J987" s="15"/>
      <c r="K987" s="15"/>
      <c r="L987" s="15"/>
    </row>
    <row r="988" spans="1:12" ht="15.75" customHeight="1">
      <c r="A988" s="7"/>
      <c r="J988" s="15"/>
      <c r="K988" s="15"/>
      <c r="L988" s="15"/>
    </row>
    <row r="989" spans="1:12" ht="15.75" customHeight="1">
      <c r="A989" s="7"/>
      <c r="J989" s="15"/>
      <c r="K989" s="15"/>
      <c r="L989" s="15"/>
    </row>
    <row r="990" spans="1:12" ht="15.75" customHeight="1">
      <c r="A990" s="7"/>
      <c r="J990" s="15"/>
      <c r="K990" s="15"/>
      <c r="L990" s="15"/>
    </row>
    <row r="991" spans="1:12" ht="15.75" customHeight="1">
      <c r="A991" s="7"/>
      <c r="J991" s="15"/>
      <c r="K991" s="15"/>
      <c r="L991" s="15"/>
    </row>
    <row r="992" spans="1:12" ht="15.75" customHeight="1">
      <c r="A992" s="7"/>
      <c r="J992" s="15"/>
      <c r="K992" s="15"/>
      <c r="L992" s="15"/>
    </row>
    <row r="993" spans="1:12" ht="15.75" customHeight="1">
      <c r="A993" s="7"/>
      <c r="J993" s="15"/>
      <c r="K993" s="15"/>
      <c r="L993" s="15"/>
    </row>
    <row r="994" spans="1:12" ht="15.75" customHeight="1">
      <c r="A994" s="7"/>
      <c r="J994" s="15"/>
      <c r="K994" s="15"/>
      <c r="L994" s="15"/>
    </row>
    <row r="995" spans="1:12" ht="15.75" customHeight="1">
      <c r="A995" s="7"/>
      <c r="J995" s="15"/>
      <c r="K995" s="15"/>
      <c r="L995" s="15"/>
    </row>
    <row r="996" spans="1:12" ht="15.75" customHeight="1">
      <c r="A996" s="7"/>
      <c r="J996" s="15"/>
      <c r="K996" s="15"/>
      <c r="L996" s="15"/>
    </row>
    <row r="997" spans="1:12" ht="15.75" customHeight="1">
      <c r="A997" s="7"/>
      <c r="J997" s="15"/>
      <c r="K997" s="15"/>
      <c r="L997" s="15"/>
    </row>
    <row r="998" spans="1:12" ht="15.75" customHeight="1">
      <c r="A998" s="7"/>
      <c r="J998" s="15"/>
      <c r="K998" s="15"/>
      <c r="L998" s="15"/>
    </row>
    <row r="999" spans="1:12" ht="15.75" customHeight="1">
      <c r="A999" s="7"/>
      <c r="J999" s="15"/>
      <c r="K999" s="15"/>
      <c r="L999" s="15"/>
    </row>
    <row r="1000" spans="1:12" ht="15.75" customHeight="1">
      <c r="A1000" s="7"/>
      <c r="J1000" s="15"/>
      <c r="K1000" s="15"/>
      <c r="L1000" s="15"/>
    </row>
  </sheetData>
  <mergeCells count="19">
    <mergeCell ref="N36:Q36"/>
    <mergeCell ref="N37:Q37"/>
    <mergeCell ref="N30:S30"/>
    <mergeCell ref="N31:Q31"/>
    <mergeCell ref="R31:S33"/>
    <mergeCell ref="N32:Q32"/>
    <mergeCell ref="N33:Q33"/>
    <mergeCell ref="N35:S35"/>
    <mergeCell ref="R36:S38"/>
    <mergeCell ref="N38:Q38"/>
    <mergeCell ref="N27:Q27"/>
    <mergeCell ref="N28:Q28"/>
    <mergeCell ref="N21:S21"/>
    <mergeCell ref="N22:Q22"/>
    <mergeCell ref="R22:S23"/>
    <mergeCell ref="N23:Q23"/>
    <mergeCell ref="N25:S25"/>
    <mergeCell ref="N26:Q26"/>
    <mergeCell ref="R26:S28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showGridLines="0" topLeftCell="A10" zoomScale="70" zoomScaleNormal="70" workbookViewId="0">
      <selection activeCell="I22" sqref="I22:L22"/>
    </sheetView>
  </sheetViews>
  <sheetFormatPr baseColWidth="10" defaultColWidth="12.625" defaultRowHeight="15" customHeight="1"/>
  <cols>
    <col min="1" max="1" width="7.625" customWidth="1"/>
    <col min="2" max="2" width="3" customWidth="1"/>
    <col min="3" max="3" width="9.375" customWidth="1"/>
    <col min="4" max="4" width="12.625" customWidth="1"/>
    <col min="5" max="5" width="9" customWidth="1"/>
    <col min="6" max="6" width="9.5" customWidth="1"/>
    <col min="7" max="7" width="9.875" customWidth="1"/>
    <col min="8" max="8" width="5.25" customWidth="1"/>
    <col min="9" max="10" width="8" customWidth="1"/>
    <col min="11" max="11" width="7.875" customWidth="1"/>
    <col min="12" max="12" width="10.75" customWidth="1"/>
    <col min="13" max="26" width="9.375" customWidth="1"/>
  </cols>
  <sheetData>
    <row r="1" spans="1:15">
      <c r="A1" s="7"/>
    </row>
    <row r="2" spans="1:15">
      <c r="A2" s="7"/>
    </row>
    <row r="3" spans="1:15">
      <c r="A3" s="7"/>
    </row>
    <row r="4" spans="1:15">
      <c r="A4" s="7"/>
    </row>
    <row r="5" spans="1:15">
      <c r="A5" s="7"/>
    </row>
    <row r="6" spans="1:15">
      <c r="A6" s="7"/>
    </row>
    <row r="7" spans="1:15">
      <c r="A7" s="7"/>
    </row>
    <row r="8" spans="1:15">
      <c r="A8" s="7"/>
      <c r="J8" s="32"/>
      <c r="K8" s="8"/>
    </row>
    <row r="9" spans="1:15" ht="36.75" customHeight="1">
      <c r="A9" s="7"/>
      <c r="C9" s="2" t="s">
        <v>0</v>
      </c>
      <c r="D9" s="3"/>
      <c r="E9" s="3"/>
      <c r="F9" s="3"/>
      <c r="G9" s="3"/>
      <c r="H9" s="3"/>
      <c r="I9" s="3"/>
      <c r="J9" s="3"/>
      <c r="K9" s="2"/>
      <c r="L9" s="2"/>
      <c r="M9" s="2"/>
      <c r="N9" s="2"/>
      <c r="O9" s="2"/>
    </row>
    <row r="10" spans="1:15">
      <c r="A10" s="7"/>
      <c r="C10" s="9"/>
    </row>
    <row r="11" spans="1:15" ht="20.25">
      <c r="A11" s="7"/>
      <c r="G11" s="4" t="s">
        <v>141</v>
      </c>
      <c r="H11" s="4"/>
    </row>
    <row r="12" spans="1:15" ht="7.5" customHeight="1">
      <c r="A12" s="7"/>
    </row>
    <row r="13" spans="1:15" ht="15.75">
      <c r="A13" s="7"/>
      <c r="C13" s="5" t="s">
        <v>2</v>
      </c>
      <c r="D13" s="11" t="s">
        <v>142</v>
      </c>
    </row>
    <row r="14" spans="1:15" ht="15.75">
      <c r="A14" s="7"/>
      <c r="C14" s="5"/>
    </row>
    <row r="15" spans="1:15" ht="17.25">
      <c r="A15" s="7"/>
      <c r="C15" s="5" t="s">
        <v>4</v>
      </c>
      <c r="D15" s="12"/>
    </row>
    <row r="16" spans="1:15" ht="13.5" customHeight="1">
      <c r="A16" s="7"/>
      <c r="C16" s="5"/>
    </row>
    <row r="17" spans="1:15" ht="15.75">
      <c r="A17" s="7"/>
      <c r="C17" s="5" t="s">
        <v>5</v>
      </c>
    </row>
    <row r="18" spans="1:15" ht="15.75">
      <c r="A18" s="7"/>
      <c r="D18" s="11" t="s">
        <v>143</v>
      </c>
      <c r="E18" s="11"/>
      <c r="F18" s="11"/>
      <c r="G18" s="11"/>
    </row>
    <row r="19" spans="1:15" ht="15.75">
      <c r="A19" s="7"/>
      <c r="D19" s="11" t="s">
        <v>144</v>
      </c>
      <c r="E19" s="11"/>
      <c r="F19" s="11"/>
      <c r="G19" s="11"/>
    </row>
    <row r="20" spans="1:15" ht="45" customHeight="1">
      <c r="A20" s="7"/>
      <c r="D20" s="33" t="s">
        <v>145</v>
      </c>
      <c r="E20" s="34" t="s">
        <v>146</v>
      </c>
      <c r="F20" s="33" t="s">
        <v>147</v>
      </c>
      <c r="G20" s="34" t="s">
        <v>148</v>
      </c>
      <c r="O20" s="9"/>
    </row>
    <row r="21" spans="1:15" ht="17.25" customHeight="1">
      <c r="A21" s="7"/>
      <c r="D21" s="35" t="s">
        <v>149</v>
      </c>
      <c r="E21" s="36" t="s">
        <v>150</v>
      </c>
      <c r="F21" s="36">
        <v>14</v>
      </c>
      <c r="G21" s="36">
        <v>11</v>
      </c>
      <c r="I21" s="78" t="s">
        <v>151</v>
      </c>
      <c r="J21" s="67"/>
      <c r="K21" s="67"/>
      <c r="L21" s="68"/>
      <c r="M21" s="79"/>
      <c r="N21" s="65"/>
      <c r="O21" s="31"/>
    </row>
    <row r="22" spans="1:15" ht="15.75" customHeight="1">
      <c r="A22" s="7"/>
      <c r="D22" s="35" t="s">
        <v>152</v>
      </c>
      <c r="E22" s="36" t="s">
        <v>153</v>
      </c>
      <c r="F22" s="36">
        <v>7</v>
      </c>
      <c r="G22" s="36">
        <v>36</v>
      </c>
      <c r="I22" s="64">
        <f>SUMPRODUCT(F20:F27,G20:G27)</f>
        <v>1361</v>
      </c>
      <c r="J22" s="65"/>
      <c r="K22" s="65"/>
      <c r="L22" s="65"/>
      <c r="O22" s="31"/>
    </row>
    <row r="23" spans="1:15" ht="15.75" customHeight="1">
      <c r="A23" s="7"/>
      <c r="D23" s="35" t="s">
        <v>154</v>
      </c>
      <c r="E23" s="36" t="s">
        <v>155</v>
      </c>
      <c r="F23" s="36">
        <v>18</v>
      </c>
      <c r="G23" s="36">
        <v>32</v>
      </c>
      <c r="O23" s="31"/>
    </row>
    <row r="24" spans="1:15" ht="18" customHeight="1">
      <c r="A24" s="7"/>
      <c r="D24" s="35" t="s">
        <v>156</v>
      </c>
      <c r="E24" s="36" t="s">
        <v>155</v>
      </c>
      <c r="F24" s="36">
        <v>5</v>
      </c>
      <c r="G24" s="36">
        <v>14</v>
      </c>
      <c r="O24" s="31"/>
    </row>
    <row r="25" spans="1:15" ht="18" customHeight="1">
      <c r="A25" s="7"/>
      <c r="D25" s="35" t="s">
        <v>157</v>
      </c>
      <c r="E25" s="36" t="s">
        <v>150</v>
      </c>
      <c r="F25" s="36">
        <v>4</v>
      </c>
      <c r="G25" s="36">
        <v>20</v>
      </c>
      <c r="O25" s="31"/>
    </row>
    <row r="26" spans="1:15" ht="15.75" customHeight="1">
      <c r="A26" s="7"/>
      <c r="D26" s="35" t="s">
        <v>158</v>
      </c>
      <c r="E26" s="36" t="s">
        <v>153</v>
      </c>
      <c r="F26" s="36">
        <v>11</v>
      </c>
      <c r="G26" s="36">
        <v>13</v>
      </c>
      <c r="O26" s="31"/>
    </row>
    <row r="27" spans="1:15" ht="15.75" customHeight="1">
      <c r="A27" s="7"/>
      <c r="D27" s="35" t="s">
        <v>159</v>
      </c>
      <c r="E27" s="36" t="s">
        <v>160</v>
      </c>
      <c r="F27" s="36">
        <v>2</v>
      </c>
      <c r="G27" s="36">
        <v>43</v>
      </c>
      <c r="O27" s="31"/>
    </row>
    <row r="28" spans="1:15" ht="15.75" customHeight="1">
      <c r="A28" s="7"/>
      <c r="D28" s="15"/>
      <c r="E28" s="15"/>
      <c r="O28" s="31"/>
    </row>
    <row r="29" spans="1:15" ht="15.75" customHeight="1">
      <c r="A29" s="7"/>
    </row>
    <row r="30" spans="1:15" ht="18" customHeight="1">
      <c r="A30" s="7"/>
    </row>
    <row r="31" spans="1:15" ht="15.75" customHeight="1">
      <c r="A31" s="7"/>
    </row>
    <row r="32" spans="1:15" ht="15.75" customHeight="1">
      <c r="A32" s="7"/>
    </row>
    <row r="33" spans="1:10" ht="15.75" customHeight="1">
      <c r="A33" s="7"/>
    </row>
    <row r="34" spans="1:10" ht="15.75" customHeight="1">
      <c r="A34" s="7"/>
      <c r="D34" s="22"/>
    </row>
    <row r="35" spans="1:10" ht="18" customHeight="1">
      <c r="A35" s="7"/>
    </row>
    <row r="36" spans="1:10" ht="15.75" customHeight="1">
      <c r="A36" s="7"/>
    </row>
    <row r="37" spans="1:10" ht="15.75" customHeight="1">
      <c r="A37" s="7"/>
      <c r="I37" s="15"/>
      <c r="J37" s="15"/>
    </row>
    <row r="38" spans="1:10" ht="15.75" customHeight="1">
      <c r="A38" s="7"/>
    </row>
    <row r="39" spans="1:10" ht="15.75" customHeight="1">
      <c r="A39" s="7"/>
    </row>
    <row r="40" spans="1:10" ht="15.75" customHeight="1">
      <c r="A40" s="7"/>
    </row>
    <row r="41" spans="1:10" ht="15.75" customHeight="1">
      <c r="A41" s="7"/>
    </row>
    <row r="42" spans="1:10" ht="15.75" customHeight="1">
      <c r="A42" s="7"/>
    </row>
    <row r="43" spans="1:10" ht="15.75" customHeight="1">
      <c r="A43" s="7"/>
    </row>
    <row r="44" spans="1:10" ht="15.75" customHeight="1">
      <c r="A44" s="7"/>
    </row>
    <row r="45" spans="1:10" ht="15.75" customHeight="1">
      <c r="A45" s="7"/>
    </row>
    <row r="46" spans="1:10" ht="15.75" customHeight="1">
      <c r="A46" s="7"/>
    </row>
    <row r="47" spans="1:10" ht="15.75" customHeight="1">
      <c r="A47" s="7"/>
    </row>
    <row r="48" spans="1:10" ht="15.75" customHeight="1">
      <c r="A48" s="7"/>
    </row>
    <row r="49" spans="1:1" ht="15.75" customHeight="1">
      <c r="A49" s="7"/>
    </row>
    <row r="50" spans="1:1" ht="15.75" customHeight="1">
      <c r="A50" s="7"/>
    </row>
    <row r="51" spans="1:1" ht="15.75" customHeight="1">
      <c r="A51" s="7"/>
    </row>
    <row r="52" spans="1:1" ht="15.75" customHeight="1">
      <c r="A52" s="7"/>
    </row>
    <row r="53" spans="1:1" ht="15.75" customHeight="1">
      <c r="A53" s="7"/>
    </row>
    <row r="54" spans="1:1" ht="15.75" customHeight="1">
      <c r="A54" s="7"/>
    </row>
    <row r="55" spans="1:1" ht="15.75" customHeight="1">
      <c r="A55" s="7"/>
    </row>
    <row r="56" spans="1:1" ht="15.75" customHeight="1">
      <c r="A56" s="7"/>
    </row>
    <row r="57" spans="1:1" ht="15.75" customHeight="1">
      <c r="A57" s="7"/>
    </row>
    <row r="58" spans="1:1" ht="15.75" customHeight="1">
      <c r="A58" s="7"/>
    </row>
    <row r="59" spans="1:1" ht="15.75" customHeight="1">
      <c r="A59" s="7"/>
    </row>
    <row r="60" spans="1:1" ht="15.75" customHeight="1">
      <c r="A60" s="7"/>
    </row>
    <row r="61" spans="1:1" ht="15.75" customHeight="1">
      <c r="A61" s="7"/>
    </row>
    <row r="62" spans="1:1" ht="15.75" customHeight="1">
      <c r="A62" s="7"/>
    </row>
    <row r="63" spans="1:1" ht="15.75" customHeight="1">
      <c r="A63" s="7"/>
    </row>
    <row r="64" spans="1:1" ht="15.75" customHeight="1">
      <c r="A64" s="7"/>
    </row>
    <row r="65" spans="1:1" ht="15.75" customHeight="1">
      <c r="A65" s="7"/>
    </row>
    <row r="66" spans="1:1" ht="15.75" customHeight="1">
      <c r="A66" s="7"/>
    </row>
    <row r="67" spans="1:1" ht="15.75" customHeight="1">
      <c r="A67" s="7"/>
    </row>
    <row r="68" spans="1:1" ht="15.75" customHeight="1">
      <c r="A68" s="7"/>
    </row>
    <row r="69" spans="1:1" ht="15.75" customHeight="1">
      <c r="A69" s="7"/>
    </row>
    <row r="70" spans="1:1" ht="15.75" customHeight="1">
      <c r="A70" s="7"/>
    </row>
    <row r="71" spans="1:1" ht="15.75" customHeight="1">
      <c r="A71" s="7"/>
    </row>
    <row r="72" spans="1:1" ht="15.75" customHeight="1">
      <c r="A72" s="7"/>
    </row>
    <row r="73" spans="1:1" ht="15.75" customHeight="1">
      <c r="A73" s="7"/>
    </row>
    <row r="74" spans="1:1" ht="15.75" customHeight="1">
      <c r="A74" s="7"/>
    </row>
    <row r="75" spans="1:1" ht="15.75" customHeight="1">
      <c r="A75" s="7"/>
    </row>
    <row r="76" spans="1:1" ht="15.75" customHeight="1">
      <c r="A76" s="7"/>
    </row>
    <row r="77" spans="1:1" ht="15.75" customHeight="1">
      <c r="A77" s="7"/>
    </row>
    <row r="78" spans="1:1" ht="15.75" customHeight="1">
      <c r="A78" s="7"/>
    </row>
    <row r="79" spans="1:1" ht="15.75" customHeight="1">
      <c r="A79" s="7"/>
    </row>
    <row r="80" spans="1:1" ht="15.75" customHeight="1">
      <c r="A80" s="7"/>
    </row>
    <row r="81" spans="1:1" ht="15.75" customHeight="1">
      <c r="A81" s="7"/>
    </row>
    <row r="82" spans="1:1" ht="15.75" customHeight="1">
      <c r="A82" s="7"/>
    </row>
    <row r="83" spans="1:1" ht="15.75" customHeight="1">
      <c r="A83" s="7"/>
    </row>
    <row r="84" spans="1:1" ht="15.75" customHeight="1">
      <c r="A84" s="7"/>
    </row>
    <row r="85" spans="1:1" ht="15.75" customHeight="1">
      <c r="A85" s="7"/>
    </row>
    <row r="86" spans="1:1" ht="15.75" customHeight="1">
      <c r="A86" s="7"/>
    </row>
    <row r="87" spans="1:1" ht="15.75" customHeight="1">
      <c r="A87" s="7"/>
    </row>
    <row r="88" spans="1:1" ht="15.75" customHeight="1">
      <c r="A88" s="7"/>
    </row>
    <row r="89" spans="1:1" ht="15.75" customHeight="1">
      <c r="A89" s="7"/>
    </row>
    <row r="90" spans="1:1" ht="15.75" customHeight="1">
      <c r="A90" s="7"/>
    </row>
    <row r="91" spans="1:1" ht="15.75" customHeight="1">
      <c r="A91" s="7"/>
    </row>
    <row r="92" spans="1:1" ht="15.75" customHeight="1">
      <c r="A92" s="7"/>
    </row>
    <row r="93" spans="1:1" ht="15.75" customHeight="1">
      <c r="A93" s="7"/>
    </row>
    <row r="94" spans="1:1" ht="15.75" customHeight="1">
      <c r="A94" s="7"/>
    </row>
    <row r="95" spans="1:1" ht="15.75" customHeight="1">
      <c r="A95" s="7"/>
    </row>
    <row r="96" spans="1:1" ht="15.75" customHeight="1">
      <c r="A96" s="7"/>
    </row>
    <row r="97" spans="1:1" ht="15.75" customHeight="1">
      <c r="A97" s="7"/>
    </row>
    <row r="98" spans="1:1" ht="15.75" customHeight="1">
      <c r="A98" s="7"/>
    </row>
    <row r="99" spans="1:1" ht="15.75" customHeight="1">
      <c r="A99" s="7"/>
    </row>
    <row r="100" spans="1:1" ht="15.75" customHeight="1">
      <c r="A100" s="7"/>
    </row>
    <row r="101" spans="1:1" ht="15.75" customHeight="1">
      <c r="A101" s="7"/>
    </row>
    <row r="102" spans="1:1" ht="15.75" customHeight="1">
      <c r="A102" s="7"/>
    </row>
    <row r="103" spans="1:1" ht="15.75" customHeight="1">
      <c r="A103" s="7"/>
    </row>
    <row r="104" spans="1:1" ht="15.75" customHeight="1">
      <c r="A104" s="7"/>
    </row>
    <row r="105" spans="1:1" ht="15.75" customHeight="1">
      <c r="A105" s="7"/>
    </row>
    <row r="106" spans="1:1" ht="15.75" customHeight="1">
      <c r="A106" s="7"/>
    </row>
    <row r="107" spans="1:1" ht="15.75" customHeight="1">
      <c r="A107" s="7"/>
    </row>
    <row r="108" spans="1:1" ht="15.75" customHeight="1">
      <c r="A108" s="7"/>
    </row>
    <row r="109" spans="1:1" ht="15.75" customHeight="1">
      <c r="A109" s="7"/>
    </row>
    <row r="110" spans="1:1" ht="15.75" customHeight="1">
      <c r="A110" s="7"/>
    </row>
    <row r="111" spans="1:1" ht="15.75" customHeight="1">
      <c r="A111" s="7"/>
    </row>
    <row r="112" spans="1:1" ht="15.75" customHeight="1">
      <c r="A112" s="7"/>
    </row>
    <row r="113" spans="1:1" ht="15.75" customHeight="1">
      <c r="A113" s="7"/>
    </row>
    <row r="114" spans="1:1" ht="15.75" customHeight="1">
      <c r="A114" s="7"/>
    </row>
    <row r="115" spans="1:1" ht="15.75" customHeight="1">
      <c r="A115" s="7"/>
    </row>
    <row r="116" spans="1:1" ht="15.75" customHeight="1">
      <c r="A116" s="7"/>
    </row>
    <row r="117" spans="1:1" ht="15.75" customHeight="1">
      <c r="A117" s="7"/>
    </row>
    <row r="118" spans="1:1" ht="15.75" customHeight="1">
      <c r="A118" s="7"/>
    </row>
    <row r="119" spans="1:1" ht="15.75" customHeight="1">
      <c r="A119" s="7"/>
    </row>
    <row r="120" spans="1:1" ht="15.75" customHeight="1">
      <c r="A120" s="7"/>
    </row>
    <row r="121" spans="1:1" ht="15.75" customHeight="1">
      <c r="A121" s="7"/>
    </row>
    <row r="122" spans="1:1" ht="15.75" customHeight="1">
      <c r="A122" s="7"/>
    </row>
    <row r="123" spans="1:1" ht="15.75" customHeight="1">
      <c r="A123" s="7"/>
    </row>
    <row r="124" spans="1:1" ht="15.75" customHeight="1">
      <c r="A124" s="7"/>
    </row>
    <row r="125" spans="1:1" ht="15.75" customHeight="1">
      <c r="A125" s="7"/>
    </row>
    <row r="126" spans="1:1" ht="15.75" customHeight="1">
      <c r="A126" s="7"/>
    </row>
    <row r="127" spans="1:1" ht="15.75" customHeight="1">
      <c r="A127" s="7"/>
    </row>
    <row r="128" spans="1:1" ht="15.75" customHeight="1">
      <c r="A128" s="7"/>
    </row>
    <row r="129" spans="1:1" ht="15.75" customHeight="1">
      <c r="A129" s="7"/>
    </row>
    <row r="130" spans="1:1" ht="15.75" customHeight="1">
      <c r="A130" s="7"/>
    </row>
    <row r="131" spans="1:1" ht="15.75" customHeight="1">
      <c r="A131" s="7"/>
    </row>
    <row r="132" spans="1:1" ht="15.75" customHeight="1">
      <c r="A132" s="7"/>
    </row>
    <row r="133" spans="1:1" ht="15.75" customHeight="1">
      <c r="A133" s="7"/>
    </row>
    <row r="134" spans="1:1" ht="15.75" customHeight="1">
      <c r="A134" s="7"/>
    </row>
    <row r="135" spans="1:1" ht="15.75" customHeight="1">
      <c r="A135" s="7"/>
    </row>
    <row r="136" spans="1:1" ht="15.75" customHeight="1">
      <c r="A136" s="7"/>
    </row>
    <row r="137" spans="1:1" ht="15.75" customHeight="1">
      <c r="A137" s="7"/>
    </row>
    <row r="138" spans="1:1" ht="15.75" customHeight="1">
      <c r="A138" s="7"/>
    </row>
    <row r="139" spans="1:1" ht="15.75" customHeight="1">
      <c r="A139" s="7"/>
    </row>
    <row r="140" spans="1:1" ht="15.75" customHeight="1">
      <c r="A140" s="7"/>
    </row>
    <row r="141" spans="1:1" ht="15.75" customHeight="1">
      <c r="A141" s="7"/>
    </row>
    <row r="142" spans="1:1" ht="15.75" customHeight="1">
      <c r="A142" s="7"/>
    </row>
    <row r="143" spans="1:1" ht="15.75" customHeight="1">
      <c r="A143" s="7"/>
    </row>
    <row r="144" spans="1:1" ht="15.75" customHeight="1">
      <c r="A144" s="7"/>
    </row>
    <row r="145" spans="1:1" ht="15.75" customHeight="1">
      <c r="A145" s="7"/>
    </row>
    <row r="146" spans="1:1" ht="15.75" customHeight="1">
      <c r="A146" s="7"/>
    </row>
    <row r="147" spans="1:1" ht="15.75" customHeight="1">
      <c r="A147" s="7"/>
    </row>
    <row r="148" spans="1:1" ht="15.75" customHeight="1">
      <c r="A148" s="7"/>
    </row>
    <row r="149" spans="1:1" ht="15.75" customHeight="1">
      <c r="A149" s="7"/>
    </row>
    <row r="150" spans="1:1" ht="15.75" customHeight="1">
      <c r="A150" s="7"/>
    </row>
    <row r="151" spans="1:1" ht="15.75" customHeight="1">
      <c r="A151" s="7"/>
    </row>
    <row r="152" spans="1:1" ht="15.75" customHeight="1">
      <c r="A152" s="7"/>
    </row>
    <row r="153" spans="1:1" ht="15.75" customHeight="1">
      <c r="A153" s="7"/>
    </row>
    <row r="154" spans="1:1" ht="15.75" customHeight="1">
      <c r="A154" s="7"/>
    </row>
    <row r="155" spans="1:1" ht="15.75" customHeight="1">
      <c r="A155" s="7"/>
    </row>
    <row r="156" spans="1:1" ht="15.75" customHeight="1">
      <c r="A156" s="7"/>
    </row>
    <row r="157" spans="1:1" ht="15.75" customHeight="1">
      <c r="A157" s="7"/>
    </row>
    <row r="158" spans="1:1" ht="15.75" customHeight="1">
      <c r="A158" s="7"/>
    </row>
    <row r="159" spans="1:1" ht="15.75" customHeight="1">
      <c r="A159" s="7"/>
    </row>
    <row r="160" spans="1:1" ht="15.75" customHeight="1">
      <c r="A160" s="7"/>
    </row>
    <row r="161" spans="1:1" ht="15.75" customHeight="1">
      <c r="A161" s="7"/>
    </row>
    <row r="162" spans="1:1" ht="15.75" customHeight="1">
      <c r="A162" s="7"/>
    </row>
    <row r="163" spans="1:1" ht="15.75" customHeight="1">
      <c r="A163" s="7"/>
    </row>
    <row r="164" spans="1:1" ht="15.75" customHeight="1">
      <c r="A164" s="7"/>
    </row>
    <row r="165" spans="1:1" ht="15.75" customHeight="1">
      <c r="A165" s="7"/>
    </row>
    <row r="166" spans="1:1" ht="15.75" customHeight="1">
      <c r="A166" s="7"/>
    </row>
    <row r="167" spans="1:1" ht="15.75" customHeight="1">
      <c r="A167" s="7"/>
    </row>
    <row r="168" spans="1:1" ht="15.75" customHeight="1">
      <c r="A168" s="7"/>
    </row>
    <row r="169" spans="1:1" ht="15.75" customHeight="1">
      <c r="A169" s="7"/>
    </row>
    <row r="170" spans="1:1" ht="15.75" customHeight="1">
      <c r="A170" s="7"/>
    </row>
    <row r="171" spans="1:1" ht="15.75" customHeight="1">
      <c r="A171" s="7"/>
    </row>
    <row r="172" spans="1:1" ht="15.75" customHeight="1">
      <c r="A172" s="7"/>
    </row>
    <row r="173" spans="1:1" ht="15.75" customHeight="1">
      <c r="A173" s="7"/>
    </row>
    <row r="174" spans="1:1" ht="15.75" customHeight="1">
      <c r="A174" s="7"/>
    </row>
    <row r="175" spans="1:1" ht="15.75" customHeight="1">
      <c r="A175" s="7"/>
    </row>
    <row r="176" spans="1:1" ht="15.75" customHeight="1">
      <c r="A176" s="7"/>
    </row>
    <row r="177" spans="1:1" ht="15.75" customHeight="1">
      <c r="A177" s="7"/>
    </row>
    <row r="178" spans="1:1" ht="15.75" customHeight="1">
      <c r="A178" s="7"/>
    </row>
    <row r="179" spans="1:1" ht="15.75" customHeight="1">
      <c r="A179" s="7"/>
    </row>
    <row r="180" spans="1:1" ht="15.75" customHeight="1">
      <c r="A180" s="7"/>
    </row>
    <row r="181" spans="1:1" ht="15.75" customHeight="1">
      <c r="A181" s="7"/>
    </row>
    <row r="182" spans="1:1" ht="15.75" customHeight="1">
      <c r="A182" s="7"/>
    </row>
    <row r="183" spans="1:1" ht="15.75" customHeight="1">
      <c r="A183" s="7"/>
    </row>
    <row r="184" spans="1:1" ht="15.75" customHeight="1">
      <c r="A184" s="7"/>
    </row>
    <row r="185" spans="1:1" ht="15.75" customHeight="1">
      <c r="A185" s="7"/>
    </row>
    <row r="186" spans="1:1" ht="15.75" customHeight="1">
      <c r="A186" s="7"/>
    </row>
    <row r="187" spans="1:1" ht="15.75" customHeight="1">
      <c r="A187" s="7"/>
    </row>
    <row r="188" spans="1:1" ht="15.75" customHeight="1">
      <c r="A188" s="7"/>
    </row>
    <row r="189" spans="1:1" ht="15.75" customHeight="1">
      <c r="A189" s="7"/>
    </row>
    <row r="190" spans="1:1" ht="15.75" customHeight="1">
      <c r="A190" s="7"/>
    </row>
    <row r="191" spans="1:1" ht="15.75" customHeight="1">
      <c r="A191" s="7"/>
    </row>
    <row r="192" spans="1:1" ht="15.75" customHeight="1">
      <c r="A192" s="7"/>
    </row>
    <row r="193" spans="1:1" ht="15.75" customHeight="1">
      <c r="A193" s="7"/>
    </row>
    <row r="194" spans="1:1" ht="15.75" customHeight="1">
      <c r="A194" s="7"/>
    </row>
    <row r="195" spans="1:1" ht="15.75" customHeight="1">
      <c r="A195" s="7"/>
    </row>
    <row r="196" spans="1:1" ht="15.75" customHeight="1">
      <c r="A196" s="7"/>
    </row>
    <row r="197" spans="1:1" ht="15.75" customHeight="1">
      <c r="A197" s="7"/>
    </row>
    <row r="198" spans="1:1" ht="15.75" customHeight="1">
      <c r="A198" s="7"/>
    </row>
    <row r="199" spans="1:1" ht="15.75" customHeight="1">
      <c r="A199" s="7"/>
    </row>
    <row r="200" spans="1:1" ht="15.75" customHeight="1">
      <c r="A200" s="7"/>
    </row>
    <row r="201" spans="1:1" ht="15.75" customHeight="1">
      <c r="A201" s="7"/>
    </row>
    <row r="202" spans="1:1" ht="15.75" customHeight="1">
      <c r="A202" s="7"/>
    </row>
    <row r="203" spans="1:1" ht="15.75" customHeight="1">
      <c r="A203" s="7"/>
    </row>
    <row r="204" spans="1:1" ht="15.75" customHeight="1">
      <c r="A204" s="7"/>
    </row>
    <row r="205" spans="1:1" ht="15.75" customHeight="1">
      <c r="A205" s="7"/>
    </row>
    <row r="206" spans="1:1" ht="15.75" customHeight="1">
      <c r="A206" s="7"/>
    </row>
    <row r="207" spans="1:1" ht="15.75" customHeight="1">
      <c r="A207" s="7"/>
    </row>
    <row r="208" spans="1:1" ht="15.75" customHeight="1">
      <c r="A208" s="7"/>
    </row>
    <row r="209" spans="1:1" ht="15.75" customHeight="1">
      <c r="A209" s="7"/>
    </row>
    <row r="210" spans="1:1" ht="15.75" customHeight="1">
      <c r="A210" s="7"/>
    </row>
    <row r="211" spans="1:1" ht="15.75" customHeight="1">
      <c r="A211" s="7"/>
    </row>
    <row r="212" spans="1:1" ht="15.75" customHeight="1">
      <c r="A212" s="7"/>
    </row>
    <row r="213" spans="1:1" ht="15.75" customHeight="1">
      <c r="A213" s="7"/>
    </row>
    <row r="214" spans="1:1" ht="15.75" customHeight="1">
      <c r="A214" s="7"/>
    </row>
    <row r="215" spans="1:1" ht="15.75" customHeight="1">
      <c r="A215" s="7"/>
    </row>
    <row r="216" spans="1:1" ht="15.75" customHeight="1">
      <c r="A216" s="7"/>
    </row>
    <row r="217" spans="1:1" ht="15.75" customHeight="1">
      <c r="A217" s="7"/>
    </row>
    <row r="218" spans="1:1" ht="15.75" customHeight="1">
      <c r="A218" s="7"/>
    </row>
    <row r="219" spans="1:1" ht="15.75" customHeight="1">
      <c r="A219" s="7"/>
    </row>
    <row r="220" spans="1:1" ht="15.75" customHeight="1">
      <c r="A220" s="7"/>
    </row>
    <row r="221" spans="1:1" ht="15.75" customHeight="1">
      <c r="A221" s="7"/>
    </row>
    <row r="222" spans="1:1" ht="15.75" customHeight="1">
      <c r="A222" s="7"/>
    </row>
    <row r="223" spans="1:1" ht="15.75" customHeight="1">
      <c r="A223" s="7"/>
    </row>
    <row r="224" spans="1:1" ht="15.75" customHeight="1">
      <c r="A224" s="7"/>
    </row>
    <row r="225" spans="1:1" ht="15.75" customHeight="1">
      <c r="A225" s="7"/>
    </row>
    <row r="226" spans="1:1" ht="15.75" customHeight="1">
      <c r="A226" s="7"/>
    </row>
    <row r="227" spans="1:1" ht="15.75" customHeight="1">
      <c r="A227" s="7"/>
    </row>
    <row r="228" spans="1:1" ht="15.75" customHeight="1">
      <c r="A228" s="7"/>
    </row>
    <row r="229" spans="1:1" ht="15.75" customHeight="1">
      <c r="A229" s="7"/>
    </row>
    <row r="230" spans="1:1" ht="15.75" customHeight="1">
      <c r="A230" s="7"/>
    </row>
    <row r="231" spans="1:1" ht="15.75" customHeight="1">
      <c r="A231" s="7"/>
    </row>
    <row r="232" spans="1:1" ht="15.75" customHeight="1">
      <c r="A232" s="7"/>
    </row>
    <row r="233" spans="1:1" ht="15.75" customHeight="1">
      <c r="A233" s="7"/>
    </row>
    <row r="234" spans="1:1" ht="15.75" customHeight="1">
      <c r="A234" s="7"/>
    </row>
    <row r="235" spans="1:1" ht="15.75" customHeight="1">
      <c r="A235" s="7"/>
    </row>
    <row r="236" spans="1:1" ht="15.75" customHeight="1">
      <c r="A236" s="7"/>
    </row>
    <row r="237" spans="1:1" ht="15.75" customHeight="1">
      <c r="A237" s="7"/>
    </row>
    <row r="238" spans="1:1" ht="15.75" customHeight="1">
      <c r="A238" s="7"/>
    </row>
    <row r="239" spans="1:1" ht="15.75" customHeight="1">
      <c r="A239" s="7"/>
    </row>
    <row r="240" spans="1:1" ht="15.75" customHeight="1">
      <c r="A240" s="7"/>
    </row>
    <row r="241" spans="1:1" ht="15.75" customHeight="1">
      <c r="A241" s="7"/>
    </row>
    <row r="242" spans="1:1" ht="15.75" customHeight="1">
      <c r="A242" s="7"/>
    </row>
    <row r="243" spans="1:1" ht="15.75" customHeight="1">
      <c r="A243" s="7"/>
    </row>
    <row r="244" spans="1:1" ht="15.75" customHeight="1">
      <c r="A244" s="7"/>
    </row>
    <row r="245" spans="1:1" ht="15.75" customHeight="1">
      <c r="A245" s="7"/>
    </row>
    <row r="246" spans="1:1" ht="15.75" customHeight="1">
      <c r="A246" s="7"/>
    </row>
    <row r="247" spans="1:1" ht="15.75" customHeight="1">
      <c r="A247" s="7"/>
    </row>
    <row r="248" spans="1:1" ht="15.75" customHeight="1">
      <c r="A248" s="7"/>
    </row>
    <row r="249" spans="1:1" ht="15.75" customHeight="1">
      <c r="A249" s="7"/>
    </row>
    <row r="250" spans="1:1" ht="15.75" customHeight="1">
      <c r="A250" s="7"/>
    </row>
    <row r="251" spans="1:1" ht="15.75" customHeight="1">
      <c r="A251" s="7"/>
    </row>
    <row r="252" spans="1:1" ht="15.75" customHeight="1">
      <c r="A252" s="7"/>
    </row>
    <row r="253" spans="1:1" ht="15.75" customHeight="1">
      <c r="A253" s="7"/>
    </row>
    <row r="254" spans="1:1" ht="15.75" customHeight="1">
      <c r="A254" s="7"/>
    </row>
    <row r="255" spans="1:1" ht="15.75" customHeight="1">
      <c r="A255" s="7"/>
    </row>
    <row r="256" spans="1:1" ht="15.75" customHeight="1">
      <c r="A256" s="7"/>
    </row>
    <row r="257" spans="1:1" ht="15.75" customHeight="1">
      <c r="A257" s="7"/>
    </row>
    <row r="258" spans="1:1" ht="15.75" customHeight="1">
      <c r="A258" s="7"/>
    </row>
    <row r="259" spans="1:1" ht="15.75" customHeight="1">
      <c r="A259" s="7"/>
    </row>
    <row r="260" spans="1:1" ht="15.75" customHeight="1">
      <c r="A260" s="7"/>
    </row>
    <row r="261" spans="1:1" ht="15.75" customHeight="1">
      <c r="A261" s="7"/>
    </row>
    <row r="262" spans="1:1" ht="15.75" customHeight="1">
      <c r="A262" s="7"/>
    </row>
    <row r="263" spans="1:1" ht="15.75" customHeight="1">
      <c r="A263" s="7"/>
    </row>
    <row r="264" spans="1:1" ht="15.75" customHeight="1">
      <c r="A264" s="7"/>
    </row>
    <row r="265" spans="1:1" ht="15.75" customHeight="1">
      <c r="A265" s="7"/>
    </row>
    <row r="266" spans="1:1" ht="15.75" customHeight="1">
      <c r="A266" s="7"/>
    </row>
    <row r="267" spans="1:1" ht="15.75" customHeight="1">
      <c r="A267" s="7"/>
    </row>
    <row r="268" spans="1:1" ht="15.75" customHeight="1">
      <c r="A268" s="7"/>
    </row>
    <row r="269" spans="1:1" ht="15.75" customHeight="1">
      <c r="A269" s="7"/>
    </row>
    <row r="270" spans="1:1" ht="15.75" customHeight="1">
      <c r="A270" s="7"/>
    </row>
    <row r="271" spans="1:1" ht="15.75" customHeight="1">
      <c r="A271" s="7"/>
    </row>
    <row r="272" spans="1:1" ht="15.75" customHeight="1">
      <c r="A272" s="7"/>
    </row>
    <row r="273" spans="1:1" ht="15.75" customHeight="1">
      <c r="A273" s="7"/>
    </row>
    <row r="274" spans="1:1" ht="15.75" customHeight="1">
      <c r="A274" s="7"/>
    </row>
    <row r="275" spans="1:1" ht="15.75" customHeight="1">
      <c r="A275" s="7"/>
    </row>
    <row r="276" spans="1:1" ht="15.75" customHeight="1">
      <c r="A276" s="7"/>
    </row>
    <row r="277" spans="1:1" ht="15.75" customHeight="1">
      <c r="A277" s="7"/>
    </row>
    <row r="278" spans="1:1" ht="15.75" customHeight="1">
      <c r="A278" s="7"/>
    </row>
    <row r="279" spans="1:1" ht="15.75" customHeight="1">
      <c r="A279" s="7"/>
    </row>
    <row r="280" spans="1:1" ht="15.75" customHeight="1">
      <c r="A280" s="7"/>
    </row>
    <row r="281" spans="1:1" ht="15.75" customHeight="1">
      <c r="A281" s="7"/>
    </row>
    <row r="282" spans="1:1" ht="15.75" customHeight="1">
      <c r="A282" s="7"/>
    </row>
    <row r="283" spans="1:1" ht="15.75" customHeight="1">
      <c r="A283" s="7"/>
    </row>
    <row r="284" spans="1:1" ht="15.75" customHeight="1">
      <c r="A284" s="7"/>
    </row>
    <row r="285" spans="1:1" ht="15.75" customHeight="1">
      <c r="A285" s="7"/>
    </row>
    <row r="286" spans="1:1" ht="15.75" customHeight="1">
      <c r="A286" s="7"/>
    </row>
    <row r="287" spans="1:1" ht="15.75" customHeight="1">
      <c r="A287" s="7"/>
    </row>
    <row r="288" spans="1:1" ht="15.75" customHeight="1">
      <c r="A288" s="7"/>
    </row>
    <row r="289" spans="1:1" ht="15.75" customHeight="1">
      <c r="A289" s="7"/>
    </row>
    <row r="290" spans="1:1" ht="15.75" customHeight="1">
      <c r="A290" s="7"/>
    </row>
    <row r="291" spans="1:1" ht="15.75" customHeight="1">
      <c r="A291" s="7"/>
    </row>
    <row r="292" spans="1:1" ht="15.75" customHeight="1">
      <c r="A292" s="7"/>
    </row>
    <row r="293" spans="1:1" ht="15.75" customHeight="1">
      <c r="A293" s="7"/>
    </row>
    <row r="294" spans="1:1" ht="15.75" customHeight="1">
      <c r="A294" s="7"/>
    </row>
    <row r="295" spans="1:1" ht="15.75" customHeight="1">
      <c r="A295" s="7"/>
    </row>
    <row r="296" spans="1:1" ht="15.75" customHeight="1">
      <c r="A296" s="7"/>
    </row>
    <row r="297" spans="1:1" ht="15.75" customHeight="1">
      <c r="A297" s="7"/>
    </row>
    <row r="298" spans="1:1" ht="15.75" customHeight="1">
      <c r="A298" s="7"/>
    </row>
    <row r="299" spans="1:1" ht="15.75" customHeight="1">
      <c r="A299" s="7"/>
    </row>
    <row r="300" spans="1:1" ht="15.75" customHeight="1">
      <c r="A300" s="7"/>
    </row>
    <row r="301" spans="1:1" ht="15.75" customHeight="1">
      <c r="A301" s="7"/>
    </row>
    <row r="302" spans="1:1" ht="15.75" customHeight="1">
      <c r="A302" s="7"/>
    </row>
    <row r="303" spans="1:1" ht="15.75" customHeight="1">
      <c r="A303" s="7"/>
    </row>
    <row r="304" spans="1:1" ht="15.75" customHeight="1">
      <c r="A304" s="7"/>
    </row>
    <row r="305" spans="1:1" ht="15.75" customHeight="1">
      <c r="A305" s="7"/>
    </row>
    <row r="306" spans="1:1" ht="15.75" customHeight="1">
      <c r="A306" s="7"/>
    </row>
    <row r="307" spans="1:1" ht="15.75" customHeight="1">
      <c r="A307" s="7"/>
    </row>
    <row r="308" spans="1:1" ht="15.75" customHeight="1">
      <c r="A308" s="7"/>
    </row>
    <row r="309" spans="1:1" ht="15.75" customHeight="1">
      <c r="A309" s="7"/>
    </row>
    <row r="310" spans="1:1" ht="15.75" customHeight="1">
      <c r="A310" s="7"/>
    </row>
    <row r="311" spans="1:1" ht="15.75" customHeight="1">
      <c r="A311" s="7"/>
    </row>
    <row r="312" spans="1:1" ht="15.75" customHeight="1">
      <c r="A312" s="7"/>
    </row>
    <row r="313" spans="1:1" ht="15.75" customHeight="1">
      <c r="A313" s="7"/>
    </row>
    <row r="314" spans="1:1" ht="15.75" customHeight="1">
      <c r="A314" s="7"/>
    </row>
    <row r="315" spans="1:1" ht="15.75" customHeight="1">
      <c r="A315" s="7"/>
    </row>
    <row r="316" spans="1:1" ht="15.75" customHeight="1">
      <c r="A316" s="7"/>
    </row>
    <row r="317" spans="1:1" ht="15.75" customHeight="1">
      <c r="A317" s="7"/>
    </row>
    <row r="318" spans="1:1" ht="15.75" customHeight="1">
      <c r="A318" s="7"/>
    </row>
    <row r="319" spans="1:1" ht="15.75" customHeight="1">
      <c r="A319" s="7"/>
    </row>
    <row r="320" spans="1:1" ht="15.75" customHeight="1">
      <c r="A320" s="7"/>
    </row>
    <row r="321" spans="1:1" ht="15.75" customHeight="1">
      <c r="A321" s="7"/>
    </row>
    <row r="322" spans="1:1" ht="15.75" customHeight="1">
      <c r="A322" s="7"/>
    </row>
    <row r="323" spans="1:1" ht="15.75" customHeight="1">
      <c r="A323" s="7"/>
    </row>
    <row r="324" spans="1:1" ht="15.75" customHeight="1">
      <c r="A324" s="7"/>
    </row>
    <row r="325" spans="1:1" ht="15.75" customHeight="1">
      <c r="A325" s="7"/>
    </row>
    <row r="326" spans="1:1" ht="15.75" customHeight="1">
      <c r="A326" s="7"/>
    </row>
    <row r="327" spans="1:1" ht="15.75" customHeight="1">
      <c r="A327" s="7"/>
    </row>
    <row r="328" spans="1:1" ht="15.75" customHeight="1">
      <c r="A328" s="7"/>
    </row>
    <row r="329" spans="1:1" ht="15.75" customHeight="1">
      <c r="A329" s="7"/>
    </row>
    <row r="330" spans="1:1" ht="15.75" customHeight="1">
      <c r="A330" s="7"/>
    </row>
    <row r="331" spans="1:1" ht="15.75" customHeight="1">
      <c r="A331" s="7"/>
    </row>
    <row r="332" spans="1:1" ht="15.75" customHeight="1">
      <c r="A332" s="7"/>
    </row>
    <row r="333" spans="1:1" ht="15.75" customHeight="1">
      <c r="A333" s="7"/>
    </row>
    <row r="334" spans="1:1" ht="15.75" customHeight="1">
      <c r="A334" s="7"/>
    </row>
    <row r="335" spans="1:1" ht="15.75" customHeight="1">
      <c r="A335" s="7"/>
    </row>
    <row r="336" spans="1:1" ht="15.75" customHeight="1">
      <c r="A336" s="7"/>
    </row>
    <row r="337" spans="1:1" ht="15.75" customHeight="1">
      <c r="A337" s="7"/>
    </row>
    <row r="338" spans="1:1" ht="15.75" customHeight="1">
      <c r="A338" s="7"/>
    </row>
    <row r="339" spans="1:1" ht="15.75" customHeight="1">
      <c r="A339" s="7"/>
    </row>
    <row r="340" spans="1:1" ht="15.75" customHeight="1">
      <c r="A340" s="7"/>
    </row>
    <row r="341" spans="1:1" ht="15.75" customHeight="1">
      <c r="A341" s="7"/>
    </row>
    <row r="342" spans="1:1" ht="15.75" customHeight="1">
      <c r="A342" s="7"/>
    </row>
    <row r="343" spans="1:1" ht="15.75" customHeight="1">
      <c r="A343" s="7"/>
    </row>
    <row r="344" spans="1:1" ht="15.75" customHeight="1">
      <c r="A344" s="7"/>
    </row>
    <row r="345" spans="1:1" ht="15.75" customHeight="1">
      <c r="A345" s="7"/>
    </row>
    <row r="346" spans="1:1" ht="15.75" customHeight="1">
      <c r="A346" s="7"/>
    </row>
    <row r="347" spans="1:1" ht="15.75" customHeight="1">
      <c r="A347" s="7"/>
    </row>
    <row r="348" spans="1:1" ht="15.75" customHeight="1">
      <c r="A348" s="7"/>
    </row>
    <row r="349" spans="1:1" ht="15.75" customHeight="1">
      <c r="A349" s="7"/>
    </row>
    <row r="350" spans="1:1" ht="15.75" customHeight="1">
      <c r="A350" s="7"/>
    </row>
    <row r="351" spans="1:1" ht="15.75" customHeight="1">
      <c r="A351" s="7"/>
    </row>
    <row r="352" spans="1:1" ht="15.75" customHeight="1">
      <c r="A352" s="7"/>
    </row>
    <row r="353" spans="1:1" ht="15.75" customHeight="1">
      <c r="A353" s="7"/>
    </row>
    <row r="354" spans="1:1" ht="15.75" customHeight="1">
      <c r="A354" s="7"/>
    </row>
    <row r="355" spans="1:1" ht="15.75" customHeight="1">
      <c r="A355" s="7"/>
    </row>
    <row r="356" spans="1:1" ht="15.75" customHeight="1">
      <c r="A356" s="7"/>
    </row>
    <row r="357" spans="1:1" ht="15.75" customHeight="1">
      <c r="A357" s="7"/>
    </row>
    <row r="358" spans="1:1" ht="15.75" customHeight="1">
      <c r="A358" s="7"/>
    </row>
    <row r="359" spans="1:1" ht="15.75" customHeight="1">
      <c r="A359" s="7"/>
    </row>
    <row r="360" spans="1:1" ht="15.75" customHeight="1">
      <c r="A360" s="7"/>
    </row>
    <row r="361" spans="1:1" ht="15.75" customHeight="1">
      <c r="A361" s="7"/>
    </row>
    <row r="362" spans="1:1" ht="15.75" customHeight="1">
      <c r="A362" s="7"/>
    </row>
    <row r="363" spans="1:1" ht="15.75" customHeight="1">
      <c r="A363" s="7"/>
    </row>
    <row r="364" spans="1:1" ht="15.75" customHeight="1">
      <c r="A364" s="7"/>
    </row>
    <row r="365" spans="1:1" ht="15.75" customHeight="1">
      <c r="A365" s="7"/>
    </row>
    <row r="366" spans="1:1" ht="15.75" customHeight="1">
      <c r="A366" s="7"/>
    </row>
    <row r="367" spans="1:1" ht="15.75" customHeight="1">
      <c r="A367" s="7"/>
    </row>
    <row r="368" spans="1:1" ht="15.75" customHeight="1">
      <c r="A368" s="7"/>
    </row>
    <row r="369" spans="1:1" ht="15.75" customHeight="1">
      <c r="A369" s="7"/>
    </row>
    <row r="370" spans="1:1" ht="15.75" customHeight="1">
      <c r="A370" s="7"/>
    </row>
    <row r="371" spans="1:1" ht="15.75" customHeight="1">
      <c r="A371" s="7"/>
    </row>
    <row r="372" spans="1:1" ht="15.75" customHeight="1">
      <c r="A372" s="7"/>
    </row>
    <row r="373" spans="1:1" ht="15.75" customHeight="1">
      <c r="A373" s="7"/>
    </row>
    <row r="374" spans="1:1" ht="15.75" customHeight="1">
      <c r="A374" s="7"/>
    </row>
    <row r="375" spans="1:1" ht="15.75" customHeight="1">
      <c r="A375" s="7"/>
    </row>
    <row r="376" spans="1:1" ht="15.75" customHeight="1">
      <c r="A376" s="7"/>
    </row>
    <row r="377" spans="1:1" ht="15.75" customHeight="1">
      <c r="A377" s="7"/>
    </row>
    <row r="378" spans="1:1" ht="15.75" customHeight="1">
      <c r="A378" s="7"/>
    </row>
    <row r="379" spans="1:1" ht="15.75" customHeight="1">
      <c r="A379" s="7"/>
    </row>
    <row r="380" spans="1:1" ht="15.75" customHeight="1">
      <c r="A380" s="7"/>
    </row>
    <row r="381" spans="1:1" ht="15.75" customHeight="1">
      <c r="A381" s="7"/>
    </row>
    <row r="382" spans="1:1" ht="15.75" customHeight="1">
      <c r="A382" s="7"/>
    </row>
    <row r="383" spans="1:1" ht="15.75" customHeight="1">
      <c r="A383" s="7"/>
    </row>
    <row r="384" spans="1:1" ht="15.75" customHeight="1">
      <c r="A384" s="7"/>
    </row>
    <row r="385" spans="1:1" ht="15.75" customHeight="1">
      <c r="A385" s="7"/>
    </row>
    <row r="386" spans="1:1" ht="15.75" customHeight="1">
      <c r="A386" s="7"/>
    </row>
    <row r="387" spans="1:1" ht="15.75" customHeight="1">
      <c r="A387" s="7"/>
    </row>
    <row r="388" spans="1:1" ht="15.75" customHeight="1">
      <c r="A388" s="7"/>
    </row>
    <row r="389" spans="1:1" ht="15.75" customHeight="1">
      <c r="A389" s="7"/>
    </row>
    <row r="390" spans="1:1" ht="15.75" customHeight="1">
      <c r="A390" s="7"/>
    </row>
    <row r="391" spans="1:1" ht="15.75" customHeight="1">
      <c r="A391" s="7"/>
    </row>
    <row r="392" spans="1:1" ht="15.75" customHeight="1">
      <c r="A392" s="7"/>
    </row>
    <row r="393" spans="1:1" ht="15.75" customHeight="1">
      <c r="A393" s="7"/>
    </row>
    <row r="394" spans="1:1" ht="15.75" customHeight="1">
      <c r="A394" s="7"/>
    </row>
    <row r="395" spans="1:1" ht="15.75" customHeight="1">
      <c r="A395" s="7"/>
    </row>
    <row r="396" spans="1:1" ht="15.75" customHeight="1">
      <c r="A396" s="7"/>
    </row>
    <row r="397" spans="1:1" ht="15.75" customHeight="1">
      <c r="A397" s="7"/>
    </row>
    <row r="398" spans="1:1" ht="15.75" customHeight="1">
      <c r="A398" s="7"/>
    </row>
    <row r="399" spans="1:1" ht="15.75" customHeight="1">
      <c r="A399" s="7"/>
    </row>
    <row r="400" spans="1:1" ht="15.75" customHeight="1">
      <c r="A400" s="7"/>
    </row>
    <row r="401" spans="1:1" ht="15.75" customHeight="1">
      <c r="A401" s="7"/>
    </row>
    <row r="402" spans="1:1" ht="15.75" customHeight="1">
      <c r="A402" s="7"/>
    </row>
    <row r="403" spans="1:1" ht="15.75" customHeight="1">
      <c r="A403" s="7"/>
    </row>
    <row r="404" spans="1:1" ht="15.75" customHeight="1">
      <c r="A404" s="7"/>
    </row>
    <row r="405" spans="1:1" ht="15.75" customHeight="1">
      <c r="A405" s="7"/>
    </row>
    <row r="406" spans="1:1" ht="15.75" customHeight="1">
      <c r="A406" s="7"/>
    </row>
    <row r="407" spans="1:1" ht="15.75" customHeight="1">
      <c r="A407" s="7"/>
    </row>
    <row r="408" spans="1:1" ht="15.75" customHeight="1">
      <c r="A408" s="7"/>
    </row>
    <row r="409" spans="1:1" ht="15.75" customHeight="1">
      <c r="A409" s="7"/>
    </row>
    <row r="410" spans="1:1" ht="15.75" customHeight="1">
      <c r="A410" s="7"/>
    </row>
    <row r="411" spans="1:1" ht="15.75" customHeight="1">
      <c r="A411" s="7"/>
    </row>
    <row r="412" spans="1:1" ht="15.75" customHeight="1">
      <c r="A412" s="7"/>
    </row>
    <row r="413" spans="1:1" ht="15.75" customHeight="1">
      <c r="A413" s="7"/>
    </row>
    <row r="414" spans="1:1" ht="15.75" customHeight="1">
      <c r="A414" s="7"/>
    </row>
    <row r="415" spans="1:1" ht="15.75" customHeight="1">
      <c r="A415" s="7"/>
    </row>
    <row r="416" spans="1:1" ht="15.75" customHeight="1">
      <c r="A416" s="7"/>
    </row>
    <row r="417" spans="1:1" ht="15.75" customHeight="1">
      <c r="A417" s="7"/>
    </row>
    <row r="418" spans="1:1" ht="15.75" customHeight="1">
      <c r="A418" s="7"/>
    </row>
    <row r="419" spans="1:1" ht="15.75" customHeight="1">
      <c r="A419" s="7"/>
    </row>
    <row r="420" spans="1:1" ht="15.75" customHeight="1">
      <c r="A420" s="7"/>
    </row>
    <row r="421" spans="1:1" ht="15.75" customHeight="1">
      <c r="A421" s="7"/>
    </row>
    <row r="422" spans="1:1" ht="15.75" customHeight="1">
      <c r="A422" s="7"/>
    </row>
    <row r="423" spans="1:1" ht="15.75" customHeight="1">
      <c r="A423" s="7"/>
    </row>
    <row r="424" spans="1:1" ht="15.75" customHeight="1">
      <c r="A424" s="7"/>
    </row>
    <row r="425" spans="1:1" ht="15.75" customHeight="1">
      <c r="A425" s="7"/>
    </row>
    <row r="426" spans="1:1" ht="15.75" customHeight="1">
      <c r="A426" s="7"/>
    </row>
    <row r="427" spans="1:1" ht="15.75" customHeight="1">
      <c r="A427" s="7"/>
    </row>
    <row r="428" spans="1:1" ht="15.75" customHeight="1">
      <c r="A428" s="7"/>
    </row>
    <row r="429" spans="1:1" ht="15.75" customHeight="1">
      <c r="A429" s="7"/>
    </row>
    <row r="430" spans="1:1" ht="15.75" customHeight="1">
      <c r="A430" s="7"/>
    </row>
    <row r="431" spans="1:1" ht="15.75" customHeight="1">
      <c r="A431" s="7"/>
    </row>
    <row r="432" spans="1:1" ht="15.75" customHeight="1">
      <c r="A432" s="7"/>
    </row>
    <row r="433" spans="1:1" ht="15.75" customHeight="1">
      <c r="A433" s="7"/>
    </row>
    <row r="434" spans="1:1" ht="15.75" customHeight="1">
      <c r="A434" s="7"/>
    </row>
    <row r="435" spans="1:1" ht="15.75" customHeight="1">
      <c r="A435" s="7"/>
    </row>
    <row r="436" spans="1:1" ht="15.75" customHeight="1">
      <c r="A436" s="7"/>
    </row>
    <row r="437" spans="1:1" ht="15.75" customHeight="1">
      <c r="A437" s="7"/>
    </row>
    <row r="438" spans="1:1" ht="15.75" customHeight="1">
      <c r="A438" s="7"/>
    </row>
    <row r="439" spans="1:1" ht="15.75" customHeight="1">
      <c r="A439" s="7"/>
    </row>
    <row r="440" spans="1:1" ht="15.75" customHeight="1">
      <c r="A440" s="7"/>
    </row>
    <row r="441" spans="1:1" ht="15.75" customHeight="1">
      <c r="A441" s="7"/>
    </row>
    <row r="442" spans="1:1" ht="15.75" customHeight="1">
      <c r="A442" s="7"/>
    </row>
    <row r="443" spans="1:1" ht="15.75" customHeight="1">
      <c r="A443" s="7"/>
    </row>
    <row r="444" spans="1:1" ht="15.75" customHeight="1">
      <c r="A444" s="7"/>
    </row>
    <row r="445" spans="1:1" ht="15.75" customHeight="1">
      <c r="A445" s="7"/>
    </row>
    <row r="446" spans="1:1" ht="15.75" customHeight="1">
      <c r="A446" s="7"/>
    </row>
    <row r="447" spans="1:1" ht="15.75" customHeight="1">
      <c r="A447" s="7"/>
    </row>
    <row r="448" spans="1:1" ht="15.75" customHeight="1">
      <c r="A448" s="7"/>
    </row>
    <row r="449" spans="1:1" ht="15.75" customHeight="1">
      <c r="A449" s="7"/>
    </row>
    <row r="450" spans="1:1" ht="15.75" customHeight="1">
      <c r="A450" s="7"/>
    </row>
    <row r="451" spans="1:1" ht="15.75" customHeight="1">
      <c r="A451" s="7"/>
    </row>
    <row r="452" spans="1:1" ht="15.75" customHeight="1">
      <c r="A452" s="7"/>
    </row>
    <row r="453" spans="1:1" ht="15.75" customHeight="1">
      <c r="A453" s="7"/>
    </row>
    <row r="454" spans="1:1" ht="15.75" customHeight="1">
      <c r="A454" s="7"/>
    </row>
    <row r="455" spans="1:1" ht="15.75" customHeight="1">
      <c r="A455" s="7"/>
    </row>
    <row r="456" spans="1:1" ht="15.75" customHeight="1">
      <c r="A456" s="7"/>
    </row>
    <row r="457" spans="1:1" ht="15.75" customHeight="1">
      <c r="A457" s="7"/>
    </row>
    <row r="458" spans="1:1" ht="15.75" customHeight="1">
      <c r="A458" s="7"/>
    </row>
    <row r="459" spans="1:1" ht="15.75" customHeight="1">
      <c r="A459" s="7"/>
    </row>
    <row r="460" spans="1:1" ht="15.75" customHeight="1">
      <c r="A460" s="7"/>
    </row>
    <row r="461" spans="1:1" ht="15.75" customHeight="1">
      <c r="A461" s="7"/>
    </row>
    <row r="462" spans="1:1" ht="15.75" customHeight="1">
      <c r="A462" s="7"/>
    </row>
    <row r="463" spans="1:1" ht="15.75" customHeight="1">
      <c r="A463" s="7"/>
    </row>
    <row r="464" spans="1:1" ht="15.75" customHeight="1">
      <c r="A464" s="7"/>
    </row>
    <row r="465" spans="1:1" ht="15.75" customHeight="1">
      <c r="A465" s="7"/>
    </row>
    <row r="466" spans="1:1" ht="15.75" customHeight="1">
      <c r="A466" s="7"/>
    </row>
    <row r="467" spans="1:1" ht="15.75" customHeight="1">
      <c r="A467" s="7"/>
    </row>
    <row r="468" spans="1:1" ht="15.75" customHeight="1">
      <c r="A468" s="7"/>
    </row>
    <row r="469" spans="1:1" ht="15.75" customHeight="1">
      <c r="A469" s="7"/>
    </row>
    <row r="470" spans="1:1" ht="15.75" customHeight="1">
      <c r="A470" s="7"/>
    </row>
    <row r="471" spans="1:1" ht="15.75" customHeight="1">
      <c r="A471" s="7"/>
    </row>
    <row r="472" spans="1:1" ht="15.75" customHeight="1">
      <c r="A472" s="7"/>
    </row>
    <row r="473" spans="1:1" ht="15.75" customHeight="1">
      <c r="A473" s="7"/>
    </row>
    <row r="474" spans="1:1" ht="15.75" customHeight="1">
      <c r="A474" s="7"/>
    </row>
    <row r="475" spans="1:1" ht="15.75" customHeight="1">
      <c r="A475" s="7"/>
    </row>
    <row r="476" spans="1:1" ht="15.75" customHeight="1">
      <c r="A476" s="7"/>
    </row>
    <row r="477" spans="1:1" ht="15.75" customHeight="1">
      <c r="A477" s="7"/>
    </row>
    <row r="478" spans="1:1" ht="15.75" customHeight="1">
      <c r="A478" s="7"/>
    </row>
    <row r="479" spans="1:1" ht="15.75" customHeight="1">
      <c r="A479" s="7"/>
    </row>
    <row r="480" spans="1:1" ht="15.75" customHeight="1">
      <c r="A480" s="7"/>
    </row>
    <row r="481" spans="1:1" ht="15.75" customHeight="1">
      <c r="A481" s="7"/>
    </row>
    <row r="482" spans="1:1" ht="15.75" customHeight="1">
      <c r="A482" s="7"/>
    </row>
    <row r="483" spans="1:1" ht="15.75" customHeight="1">
      <c r="A483" s="7"/>
    </row>
    <row r="484" spans="1:1" ht="15.75" customHeight="1">
      <c r="A484" s="7"/>
    </row>
    <row r="485" spans="1:1" ht="15.75" customHeight="1">
      <c r="A485" s="7"/>
    </row>
    <row r="486" spans="1:1" ht="15.75" customHeight="1">
      <c r="A486" s="7"/>
    </row>
    <row r="487" spans="1:1" ht="15.75" customHeight="1">
      <c r="A487" s="7"/>
    </row>
    <row r="488" spans="1:1" ht="15.75" customHeight="1">
      <c r="A488" s="7"/>
    </row>
    <row r="489" spans="1:1" ht="15.75" customHeight="1">
      <c r="A489" s="7"/>
    </row>
    <row r="490" spans="1:1" ht="15.75" customHeight="1">
      <c r="A490" s="7"/>
    </row>
    <row r="491" spans="1:1" ht="15.75" customHeight="1">
      <c r="A491" s="7"/>
    </row>
    <row r="492" spans="1:1" ht="15.75" customHeight="1">
      <c r="A492" s="7"/>
    </row>
    <row r="493" spans="1:1" ht="15.75" customHeight="1">
      <c r="A493" s="7"/>
    </row>
    <row r="494" spans="1:1" ht="15.75" customHeight="1">
      <c r="A494" s="7"/>
    </row>
    <row r="495" spans="1:1" ht="15.75" customHeight="1">
      <c r="A495" s="7"/>
    </row>
    <row r="496" spans="1:1" ht="15.75" customHeight="1">
      <c r="A496" s="7"/>
    </row>
    <row r="497" spans="1:1" ht="15.75" customHeight="1">
      <c r="A497" s="7"/>
    </row>
    <row r="498" spans="1:1" ht="15.75" customHeight="1">
      <c r="A498" s="7"/>
    </row>
    <row r="499" spans="1:1" ht="15.75" customHeight="1">
      <c r="A499" s="7"/>
    </row>
    <row r="500" spans="1:1" ht="15.75" customHeight="1">
      <c r="A500" s="7"/>
    </row>
    <row r="501" spans="1:1" ht="15.75" customHeight="1">
      <c r="A501" s="7"/>
    </row>
    <row r="502" spans="1:1" ht="15.75" customHeight="1">
      <c r="A502" s="7"/>
    </row>
    <row r="503" spans="1:1" ht="15.75" customHeight="1">
      <c r="A503" s="7"/>
    </row>
    <row r="504" spans="1:1" ht="15.75" customHeight="1">
      <c r="A504" s="7"/>
    </row>
    <row r="505" spans="1:1" ht="15.75" customHeight="1">
      <c r="A505" s="7"/>
    </row>
    <row r="506" spans="1:1" ht="15.75" customHeight="1">
      <c r="A506" s="7"/>
    </row>
    <row r="507" spans="1:1" ht="15.75" customHeight="1">
      <c r="A507" s="7"/>
    </row>
    <row r="508" spans="1:1" ht="15.75" customHeight="1">
      <c r="A508" s="7"/>
    </row>
    <row r="509" spans="1:1" ht="15.75" customHeight="1">
      <c r="A509" s="7"/>
    </row>
    <row r="510" spans="1:1" ht="15.75" customHeight="1">
      <c r="A510" s="7"/>
    </row>
    <row r="511" spans="1:1" ht="15.75" customHeight="1">
      <c r="A511" s="7"/>
    </row>
    <row r="512" spans="1:1" ht="15.75" customHeight="1">
      <c r="A512" s="7"/>
    </row>
    <row r="513" spans="1:1" ht="15.75" customHeight="1">
      <c r="A513" s="7"/>
    </row>
    <row r="514" spans="1:1" ht="15.75" customHeight="1">
      <c r="A514" s="7"/>
    </row>
    <row r="515" spans="1:1" ht="15.75" customHeight="1">
      <c r="A515" s="7"/>
    </row>
    <row r="516" spans="1:1" ht="15.75" customHeight="1">
      <c r="A516" s="7"/>
    </row>
    <row r="517" spans="1:1" ht="15.75" customHeight="1">
      <c r="A517" s="7"/>
    </row>
    <row r="518" spans="1:1" ht="15.75" customHeight="1">
      <c r="A518" s="7"/>
    </row>
    <row r="519" spans="1:1" ht="15.75" customHeight="1">
      <c r="A519" s="7"/>
    </row>
    <row r="520" spans="1:1" ht="15.75" customHeight="1">
      <c r="A520" s="7"/>
    </row>
    <row r="521" spans="1:1" ht="15.75" customHeight="1">
      <c r="A521" s="7"/>
    </row>
    <row r="522" spans="1:1" ht="15.75" customHeight="1">
      <c r="A522" s="7"/>
    </row>
    <row r="523" spans="1:1" ht="15.75" customHeight="1">
      <c r="A523" s="7"/>
    </row>
    <row r="524" spans="1:1" ht="15.75" customHeight="1">
      <c r="A524" s="7"/>
    </row>
    <row r="525" spans="1:1" ht="15.75" customHeight="1">
      <c r="A525" s="7"/>
    </row>
    <row r="526" spans="1:1" ht="15.75" customHeight="1">
      <c r="A526" s="7"/>
    </row>
    <row r="527" spans="1:1" ht="15.75" customHeight="1">
      <c r="A527" s="7"/>
    </row>
    <row r="528" spans="1:1" ht="15.75" customHeight="1">
      <c r="A528" s="7"/>
    </row>
    <row r="529" spans="1:1" ht="15.75" customHeight="1">
      <c r="A529" s="7"/>
    </row>
    <row r="530" spans="1:1" ht="15.75" customHeight="1">
      <c r="A530" s="7"/>
    </row>
    <row r="531" spans="1:1" ht="15.75" customHeight="1">
      <c r="A531" s="7"/>
    </row>
    <row r="532" spans="1:1" ht="15.75" customHeight="1">
      <c r="A532" s="7"/>
    </row>
    <row r="533" spans="1:1" ht="15.75" customHeight="1">
      <c r="A533" s="7"/>
    </row>
    <row r="534" spans="1:1" ht="15.75" customHeight="1">
      <c r="A534" s="7"/>
    </row>
    <row r="535" spans="1:1" ht="15.75" customHeight="1">
      <c r="A535" s="7"/>
    </row>
    <row r="536" spans="1:1" ht="15.75" customHeight="1">
      <c r="A536" s="7"/>
    </row>
    <row r="537" spans="1:1" ht="15.75" customHeight="1">
      <c r="A537" s="7"/>
    </row>
    <row r="538" spans="1:1" ht="15.75" customHeight="1">
      <c r="A538" s="7"/>
    </row>
    <row r="539" spans="1:1" ht="15.75" customHeight="1">
      <c r="A539" s="7"/>
    </row>
    <row r="540" spans="1:1" ht="15.75" customHeight="1">
      <c r="A540" s="7"/>
    </row>
    <row r="541" spans="1:1" ht="15.75" customHeight="1">
      <c r="A541" s="7"/>
    </row>
    <row r="542" spans="1:1" ht="15.75" customHeight="1">
      <c r="A542" s="7"/>
    </row>
    <row r="543" spans="1:1" ht="15.75" customHeight="1">
      <c r="A543" s="7"/>
    </row>
    <row r="544" spans="1:1" ht="15.75" customHeight="1">
      <c r="A544" s="7"/>
    </row>
    <row r="545" spans="1:1" ht="15.75" customHeight="1">
      <c r="A545" s="7"/>
    </row>
    <row r="546" spans="1:1" ht="15.75" customHeight="1">
      <c r="A546" s="7"/>
    </row>
    <row r="547" spans="1:1" ht="15.75" customHeight="1">
      <c r="A547" s="7"/>
    </row>
    <row r="548" spans="1:1" ht="15.75" customHeight="1">
      <c r="A548" s="7"/>
    </row>
    <row r="549" spans="1:1" ht="15.75" customHeight="1">
      <c r="A549" s="7"/>
    </row>
    <row r="550" spans="1:1" ht="15.75" customHeight="1">
      <c r="A550" s="7"/>
    </row>
    <row r="551" spans="1:1" ht="15.75" customHeight="1">
      <c r="A551" s="7"/>
    </row>
    <row r="552" spans="1:1" ht="15.75" customHeight="1">
      <c r="A552" s="7"/>
    </row>
    <row r="553" spans="1:1" ht="15.75" customHeight="1">
      <c r="A553" s="7"/>
    </row>
    <row r="554" spans="1:1" ht="15.75" customHeight="1">
      <c r="A554" s="7"/>
    </row>
    <row r="555" spans="1:1" ht="15.75" customHeight="1">
      <c r="A555" s="7"/>
    </row>
    <row r="556" spans="1:1" ht="15.75" customHeight="1">
      <c r="A556" s="7"/>
    </row>
    <row r="557" spans="1:1" ht="15.75" customHeight="1">
      <c r="A557" s="7"/>
    </row>
    <row r="558" spans="1:1" ht="15.75" customHeight="1">
      <c r="A558" s="7"/>
    </row>
    <row r="559" spans="1:1" ht="15.75" customHeight="1">
      <c r="A559" s="7"/>
    </row>
    <row r="560" spans="1:1" ht="15.75" customHeight="1">
      <c r="A560" s="7"/>
    </row>
    <row r="561" spans="1:1" ht="15.75" customHeight="1">
      <c r="A561" s="7"/>
    </row>
    <row r="562" spans="1:1" ht="15.75" customHeight="1">
      <c r="A562" s="7"/>
    </row>
    <row r="563" spans="1:1" ht="15.75" customHeight="1">
      <c r="A563" s="7"/>
    </row>
    <row r="564" spans="1:1" ht="15.75" customHeight="1">
      <c r="A564" s="7"/>
    </row>
    <row r="565" spans="1:1" ht="15.75" customHeight="1">
      <c r="A565" s="7"/>
    </row>
    <row r="566" spans="1:1" ht="15.75" customHeight="1">
      <c r="A566" s="7"/>
    </row>
    <row r="567" spans="1:1" ht="15.75" customHeight="1">
      <c r="A567" s="7"/>
    </row>
    <row r="568" spans="1:1" ht="15.75" customHeight="1">
      <c r="A568" s="7"/>
    </row>
    <row r="569" spans="1:1" ht="15.75" customHeight="1">
      <c r="A569" s="7"/>
    </row>
    <row r="570" spans="1:1" ht="15.75" customHeight="1">
      <c r="A570" s="7"/>
    </row>
    <row r="571" spans="1:1" ht="15.75" customHeight="1">
      <c r="A571" s="7"/>
    </row>
    <row r="572" spans="1:1" ht="15.75" customHeight="1">
      <c r="A572" s="7"/>
    </row>
    <row r="573" spans="1:1" ht="15.75" customHeight="1">
      <c r="A573" s="7"/>
    </row>
    <row r="574" spans="1:1" ht="15.75" customHeight="1">
      <c r="A574" s="7"/>
    </row>
    <row r="575" spans="1:1" ht="15.75" customHeight="1">
      <c r="A575" s="7"/>
    </row>
    <row r="576" spans="1:1" ht="15.75" customHeight="1">
      <c r="A576" s="7"/>
    </row>
    <row r="577" spans="1:1" ht="15.75" customHeight="1">
      <c r="A577" s="7"/>
    </row>
    <row r="578" spans="1:1" ht="15.75" customHeight="1">
      <c r="A578" s="7"/>
    </row>
    <row r="579" spans="1:1" ht="15.75" customHeight="1">
      <c r="A579" s="7"/>
    </row>
    <row r="580" spans="1:1" ht="15.75" customHeight="1">
      <c r="A580" s="7"/>
    </row>
    <row r="581" spans="1:1" ht="15.75" customHeight="1">
      <c r="A581" s="7"/>
    </row>
    <row r="582" spans="1:1" ht="15.75" customHeight="1">
      <c r="A582" s="7"/>
    </row>
    <row r="583" spans="1:1" ht="15.75" customHeight="1">
      <c r="A583" s="7"/>
    </row>
    <row r="584" spans="1:1" ht="15.75" customHeight="1">
      <c r="A584" s="7"/>
    </row>
    <row r="585" spans="1:1" ht="15.75" customHeight="1">
      <c r="A585" s="7"/>
    </row>
    <row r="586" spans="1:1" ht="15.75" customHeight="1">
      <c r="A586" s="7"/>
    </row>
    <row r="587" spans="1:1" ht="15.75" customHeight="1">
      <c r="A587" s="7"/>
    </row>
    <row r="588" spans="1:1" ht="15.75" customHeight="1">
      <c r="A588" s="7"/>
    </row>
    <row r="589" spans="1:1" ht="15.75" customHeight="1">
      <c r="A589" s="7"/>
    </row>
    <row r="590" spans="1:1" ht="15.75" customHeight="1">
      <c r="A590" s="7"/>
    </row>
    <row r="591" spans="1:1" ht="15.75" customHeight="1">
      <c r="A591" s="7"/>
    </row>
    <row r="592" spans="1:1" ht="15.75" customHeight="1">
      <c r="A592" s="7"/>
    </row>
    <row r="593" spans="1:1" ht="15.75" customHeight="1">
      <c r="A593" s="7"/>
    </row>
    <row r="594" spans="1:1" ht="15.75" customHeight="1">
      <c r="A594" s="7"/>
    </row>
    <row r="595" spans="1:1" ht="15.75" customHeight="1">
      <c r="A595" s="7"/>
    </row>
    <row r="596" spans="1:1" ht="15.75" customHeight="1">
      <c r="A596" s="7"/>
    </row>
    <row r="597" spans="1:1" ht="15.75" customHeight="1">
      <c r="A597" s="7"/>
    </row>
    <row r="598" spans="1:1" ht="15.75" customHeight="1">
      <c r="A598" s="7"/>
    </row>
    <row r="599" spans="1:1" ht="15.75" customHeight="1">
      <c r="A599" s="7"/>
    </row>
    <row r="600" spans="1:1" ht="15.75" customHeight="1">
      <c r="A600" s="7"/>
    </row>
    <row r="601" spans="1:1" ht="15.75" customHeight="1">
      <c r="A601" s="7"/>
    </row>
    <row r="602" spans="1:1" ht="15.75" customHeight="1">
      <c r="A602" s="7"/>
    </row>
    <row r="603" spans="1:1" ht="15.75" customHeight="1">
      <c r="A603" s="7"/>
    </row>
    <row r="604" spans="1:1" ht="15.75" customHeight="1">
      <c r="A604" s="7"/>
    </row>
    <row r="605" spans="1:1" ht="15.75" customHeight="1">
      <c r="A605" s="7"/>
    </row>
    <row r="606" spans="1:1" ht="15.75" customHeight="1">
      <c r="A606" s="7"/>
    </row>
    <row r="607" spans="1:1" ht="15.75" customHeight="1">
      <c r="A607" s="7"/>
    </row>
    <row r="608" spans="1:1" ht="15.75" customHeight="1">
      <c r="A608" s="7"/>
    </row>
    <row r="609" spans="1:1" ht="15.75" customHeight="1">
      <c r="A609" s="7"/>
    </row>
    <row r="610" spans="1:1" ht="15.75" customHeight="1">
      <c r="A610" s="7"/>
    </row>
    <row r="611" spans="1:1" ht="15.75" customHeight="1">
      <c r="A611" s="7"/>
    </row>
    <row r="612" spans="1:1" ht="15.75" customHeight="1">
      <c r="A612" s="7"/>
    </row>
    <row r="613" spans="1:1" ht="15.75" customHeight="1">
      <c r="A613" s="7"/>
    </row>
    <row r="614" spans="1:1" ht="15.75" customHeight="1">
      <c r="A614" s="7"/>
    </row>
    <row r="615" spans="1:1" ht="15.75" customHeight="1">
      <c r="A615" s="7"/>
    </row>
    <row r="616" spans="1:1" ht="15.75" customHeight="1">
      <c r="A616" s="7"/>
    </row>
    <row r="617" spans="1:1" ht="15.75" customHeight="1">
      <c r="A617" s="7"/>
    </row>
    <row r="618" spans="1:1" ht="15.75" customHeight="1">
      <c r="A618" s="7"/>
    </row>
    <row r="619" spans="1:1" ht="15.75" customHeight="1">
      <c r="A619" s="7"/>
    </row>
    <row r="620" spans="1:1" ht="15.75" customHeight="1">
      <c r="A620" s="7"/>
    </row>
    <row r="621" spans="1:1" ht="15.75" customHeight="1">
      <c r="A621" s="7"/>
    </row>
    <row r="622" spans="1:1" ht="15.75" customHeight="1">
      <c r="A622" s="7"/>
    </row>
    <row r="623" spans="1:1" ht="15.75" customHeight="1">
      <c r="A623" s="7"/>
    </row>
    <row r="624" spans="1:1" ht="15.75" customHeight="1">
      <c r="A624" s="7"/>
    </row>
    <row r="625" spans="1:1" ht="15.75" customHeight="1">
      <c r="A625" s="7"/>
    </row>
    <row r="626" spans="1:1" ht="15.75" customHeight="1">
      <c r="A626" s="7"/>
    </row>
    <row r="627" spans="1:1" ht="15.75" customHeight="1">
      <c r="A627" s="7"/>
    </row>
    <row r="628" spans="1:1" ht="15.75" customHeight="1">
      <c r="A628" s="7"/>
    </row>
    <row r="629" spans="1:1" ht="15.75" customHeight="1">
      <c r="A629" s="7"/>
    </row>
    <row r="630" spans="1:1" ht="15.75" customHeight="1">
      <c r="A630" s="7"/>
    </row>
    <row r="631" spans="1:1" ht="15.75" customHeight="1">
      <c r="A631" s="7"/>
    </row>
    <row r="632" spans="1:1" ht="15.75" customHeight="1">
      <c r="A632" s="7"/>
    </row>
    <row r="633" spans="1:1" ht="15.75" customHeight="1">
      <c r="A633" s="7"/>
    </row>
    <row r="634" spans="1:1" ht="15.75" customHeight="1">
      <c r="A634" s="7"/>
    </row>
    <row r="635" spans="1:1" ht="15.75" customHeight="1">
      <c r="A635" s="7"/>
    </row>
    <row r="636" spans="1:1" ht="15.75" customHeight="1">
      <c r="A636" s="7"/>
    </row>
    <row r="637" spans="1:1" ht="15.75" customHeight="1">
      <c r="A637" s="7"/>
    </row>
    <row r="638" spans="1:1" ht="15.75" customHeight="1">
      <c r="A638" s="7"/>
    </row>
    <row r="639" spans="1:1" ht="15.75" customHeight="1">
      <c r="A639" s="7"/>
    </row>
    <row r="640" spans="1:1" ht="15.75" customHeight="1">
      <c r="A640" s="7"/>
    </row>
    <row r="641" spans="1:1" ht="15.75" customHeight="1">
      <c r="A641" s="7"/>
    </row>
    <row r="642" spans="1:1" ht="15.75" customHeight="1">
      <c r="A642" s="7"/>
    </row>
    <row r="643" spans="1:1" ht="15.75" customHeight="1">
      <c r="A643" s="7"/>
    </row>
    <row r="644" spans="1:1" ht="15.75" customHeight="1">
      <c r="A644" s="7"/>
    </row>
    <row r="645" spans="1:1" ht="15.75" customHeight="1">
      <c r="A645" s="7"/>
    </row>
    <row r="646" spans="1:1" ht="15.75" customHeight="1">
      <c r="A646" s="7"/>
    </row>
    <row r="647" spans="1:1" ht="15.75" customHeight="1">
      <c r="A647" s="7"/>
    </row>
    <row r="648" spans="1:1" ht="15.75" customHeight="1">
      <c r="A648" s="7"/>
    </row>
    <row r="649" spans="1:1" ht="15.75" customHeight="1">
      <c r="A649" s="7"/>
    </row>
    <row r="650" spans="1:1" ht="15.75" customHeight="1">
      <c r="A650" s="7"/>
    </row>
    <row r="651" spans="1:1" ht="15.75" customHeight="1">
      <c r="A651" s="7"/>
    </row>
    <row r="652" spans="1:1" ht="15.75" customHeight="1">
      <c r="A652" s="7"/>
    </row>
    <row r="653" spans="1:1" ht="15.75" customHeight="1">
      <c r="A653" s="7"/>
    </row>
    <row r="654" spans="1:1" ht="15.75" customHeight="1">
      <c r="A654" s="7"/>
    </row>
    <row r="655" spans="1:1" ht="15.75" customHeight="1">
      <c r="A655" s="7"/>
    </row>
    <row r="656" spans="1:1" ht="15.75" customHeight="1">
      <c r="A656" s="7"/>
    </row>
    <row r="657" spans="1:1" ht="15.75" customHeight="1">
      <c r="A657" s="7"/>
    </row>
    <row r="658" spans="1:1" ht="15.75" customHeight="1">
      <c r="A658" s="7"/>
    </row>
    <row r="659" spans="1:1" ht="15.75" customHeight="1">
      <c r="A659" s="7"/>
    </row>
    <row r="660" spans="1:1" ht="15.75" customHeight="1">
      <c r="A660" s="7"/>
    </row>
    <row r="661" spans="1:1" ht="15.75" customHeight="1">
      <c r="A661" s="7"/>
    </row>
    <row r="662" spans="1:1" ht="15.75" customHeight="1">
      <c r="A662" s="7"/>
    </row>
    <row r="663" spans="1:1" ht="15.75" customHeight="1">
      <c r="A663" s="7"/>
    </row>
    <row r="664" spans="1:1" ht="15.75" customHeight="1">
      <c r="A664" s="7"/>
    </row>
    <row r="665" spans="1:1" ht="15.75" customHeight="1">
      <c r="A665" s="7"/>
    </row>
    <row r="666" spans="1:1" ht="15.75" customHeight="1">
      <c r="A666" s="7"/>
    </row>
    <row r="667" spans="1:1" ht="15.75" customHeight="1">
      <c r="A667" s="7"/>
    </row>
    <row r="668" spans="1:1" ht="15.75" customHeight="1">
      <c r="A668" s="7"/>
    </row>
    <row r="669" spans="1:1" ht="15.75" customHeight="1">
      <c r="A669" s="7"/>
    </row>
    <row r="670" spans="1:1" ht="15.75" customHeight="1">
      <c r="A670" s="7"/>
    </row>
    <row r="671" spans="1:1" ht="15.75" customHeight="1">
      <c r="A671" s="7"/>
    </row>
    <row r="672" spans="1:1" ht="15.75" customHeight="1">
      <c r="A672" s="7"/>
    </row>
    <row r="673" spans="1:1" ht="15.75" customHeight="1">
      <c r="A673" s="7"/>
    </row>
    <row r="674" spans="1:1" ht="15.75" customHeight="1">
      <c r="A674" s="7"/>
    </row>
    <row r="675" spans="1:1" ht="15.75" customHeight="1">
      <c r="A675" s="7"/>
    </row>
    <row r="676" spans="1:1" ht="15.75" customHeight="1">
      <c r="A676" s="7"/>
    </row>
    <row r="677" spans="1:1" ht="15.75" customHeight="1">
      <c r="A677" s="7"/>
    </row>
    <row r="678" spans="1:1" ht="15.75" customHeight="1">
      <c r="A678" s="7"/>
    </row>
    <row r="679" spans="1:1" ht="15.75" customHeight="1">
      <c r="A679" s="7"/>
    </row>
    <row r="680" spans="1:1" ht="15.75" customHeight="1">
      <c r="A680" s="7"/>
    </row>
    <row r="681" spans="1:1" ht="15.75" customHeight="1">
      <c r="A681" s="7"/>
    </row>
    <row r="682" spans="1:1" ht="15.75" customHeight="1">
      <c r="A682" s="7"/>
    </row>
    <row r="683" spans="1:1" ht="15.75" customHeight="1">
      <c r="A683" s="7"/>
    </row>
    <row r="684" spans="1:1" ht="15.75" customHeight="1">
      <c r="A684" s="7"/>
    </row>
    <row r="685" spans="1:1" ht="15.75" customHeight="1">
      <c r="A685" s="7"/>
    </row>
    <row r="686" spans="1:1" ht="15.75" customHeight="1">
      <c r="A686" s="7"/>
    </row>
    <row r="687" spans="1:1" ht="15.75" customHeight="1">
      <c r="A687" s="7"/>
    </row>
    <row r="688" spans="1:1" ht="15.75" customHeight="1">
      <c r="A688" s="7"/>
    </row>
    <row r="689" spans="1:1" ht="15.75" customHeight="1">
      <c r="A689" s="7"/>
    </row>
    <row r="690" spans="1:1" ht="15.75" customHeight="1">
      <c r="A690" s="7"/>
    </row>
    <row r="691" spans="1:1" ht="15.75" customHeight="1">
      <c r="A691" s="7"/>
    </row>
    <row r="692" spans="1:1" ht="15.75" customHeight="1">
      <c r="A692" s="7"/>
    </row>
    <row r="693" spans="1:1" ht="15.75" customHeight="1">
      <c r="A693" s="7"/>
    </row>
    <row r="694" spans="1:1" ht="15.75" customHeight="1">
      <c r="A694" s="7"/>
    </row>
    <row r="695" spans="1:1" ht="15.75" customHeight="1">
      <c r="A695" s="7"/>
    </row>
    <row r="696" spans="1:1" ht="15.75" customHeight="1">
      <c r="A696" s="7"/>
    </row>
    <row r="697" spans="1:1" ht="15.75" customHeight="1">
      <c r="A697" s="7"/>
    </row>
    <row r="698" spans="1:1" ht="15.75" customHeight="1">
      <c r="A698" s="7"/>
    </row>
    <row r="699" spans="1:1" ht="15.75" customHeight="1">
      <c r="A699" s="7"/>
    </row>
    <row r="700" spans="1:1" ht="15.75" customHeight="1">
      <c r="A700" s="7"/>
    </row>
    <row r="701" spans="1:1" ht="15.75" customHeight="1">
      <c r="A701" s="7"/>
    </row>
    <row r="702" spans="1:1" ht="15.75" customHeight="1">
      <c r="A702" s="7"/>
    </row>
    <row r="703" spans="1:1" ht="15.75" customHeight="1">
      <c r="A703" s="7"/>
    </row>
    <row r="704" spans="1:1" ht="15.75" customHeight="1">
      <c r="A704" s="7"/>
    </row>
    <row r="705" spans="1:1" ht="15.75" customHeight="1">
      <c r="A705" s="7"/>
    </row>
    <row r="706" spans="1:1" ht="15.75" customHeight="1">
      <c r="A706" s="7"/>
    </row>
    <row r="707" spans="1:1" ht="15.75" customHeight="1">
      <c r="A707" s="7"/>
    </row>
    <row r="708" spans="1:1" ht="15.75" customHeight="1">
      <c r="A708" s="7"/>
    </row>
    <row r="709" spans="1:1" ht="15.75" customHeight="1">
      <c r="A709" s="7"/>
    </row>
    <row r="710" spans="1:1" ht="15.75" customHeight="1">
      <c r="A710" s="7"/>
    </row>
    <row r="711" spans="1:1" ht="15.75" customHeight="1">
      <c r="A711" s="7"/>
    </row>
    <row r="712" spans="1:1" ht="15.75" customHeight="1">
      <c r="A712" s="7"/>
    </row>
    <row r="713" spans="1:1" ht="15.75" customHeight="1">
      <c r="A713" s="7"/>
    </row>
    <row r="714" spans="1:1" ht="15.75" customHeight="1">
      <c r="A714" s="7"/>
    </row>
    <row r="715" spans="1:1" ht="15.75" customHeight="1">
      <c r="A715" s="7"/>
    </row>
    <row r="716" spans="1:1" ht="15.75" customHeight="1">
      <c r="A716" s="7"/>
    </row>
    <row r="717" spans="1:1" ht="15.75" customHeight="1">
      <c r="A717" s="7"/>
    </row>
    <row r="718" spans="1:1" ht="15.75" customHeight="1">
      <c r="A718" s="7"/>
    </row>
    <row r="719" spans="1:1" ht="15.75" customHeight="1">
      <c r="A719" s="7"/>
    </row>
    <row r="720" spans="1:1" ht="15.75" customHeight="1">
      <c r="A720" s="7"/>
    </row>
    <row r="721" spans="1:1" ht="15.75" customHeight="1">
      <c r="A721" s="7"/>
    </row>
    <row r="722" spans="1:1" ht="15.75" customHeight="1">
      <c r="A722" s="7"/>
    </row>
    <row r="723" spans="1:1" ht="15.75" customHeight="1">
      <c r="A723" s="7"/>
    </row>
    <row r="724" spans="1:1" ht="15.75" customHeight="1">
      <c r="A724" s="7"/>
    </row>
    <row r="725" spans="1:1" ht="15.75" customHeight="1">
      <c r="A725" s="7"/>
    </row>
    <row r="726" spans="1:1" ht="15.75" customHeight="1">
      <c r="A726" s="7"/>
    </row>
    <row r="727" spans="1:1" ht="15.75" customHeight="1">
      <c r="A727" s="7"/>
    </row>
    <row r="728" spans="1:1" ht="15.75" customHeight="1">
      <c r="A728" s="7"/>
    </row>
    <row r="729" spans="1:1" ht="15.75" customHeight="1">
      <c r="A729" s="7"/>
    </row>
    <row r="730" spans="1:1" ht="15.75" customHeight="1">
      <c r="A730" s="7"/>
    </row>
    <row r="731" spans="1:1" ht="15.75" customHeight="1">
      <c r="A731" s="7"/>
    </row>
    <row r="732" spans="1:1" ht="15.75" customHeight="1">
      <c r="A732" s="7"/>
    </row>
    <row r="733" spans="1:1" ht="15.75" customHeight="1">
      <c r="A733" s="7"/>
    </row>
    <row r="734" spans="1:1" ht="15.75" customHeight="1">
      <c r="A734" s="7"/>
    </row>
    <row r="735" spans="1:1" ht="15.75" customHeight="1">
      <c r="A735" s="7"/>
    </row>
    <row r="736" spans="1:1" ht="15.75" customHeight="1">
      <c r="A736" s="7"/>
    </row>
    <row r="737" spans="1:1" ht="15.75" customHeight="1">
      <c r="A737" s="7"/>
    </row>
    <row r="738" spans="1:1" ht="15.75" customHeight="1">
      <c r="A738" s="7"/>
    </row>
    <row r="739" spans="1:1" ht="15.75" customHeight="1">
      <c r="A739" s="7"/>
    </row>
    <row r="740" spans="1:1" ht="15.75" customHeight="1">
      <c r="A740" s="7"/>
    </row>
    <row r="741" spans="1:1" ht="15.75" customHeight="1">
      <c r="A741" s="7"/>
    </row>
    <row r="742" spans="1:1" ht="15.75" customHeight="1">
      <c r="A742" s="7"/>
    </row>
    <row r="743" spans="1:1" ht="15.75" customHeight="1">
      <c r="A743" s="7"/>
    </row>
    <row r="744" spans="1:1" ht="15.75" customHeight="1">
      <c r="A744" s="7"/>
    </row>
    <row r="745" spans="1:1" ht="15.75" customHeight="1">
      <c r="A745" s="7"/>
    </row>
    <row r="746" spans="1:1" ht="15.75" customHeight="1">
      <c r="A746" s="7"/>
    </row>
    <row r="747" spans="1:1" ht="15.75" customHeight="1">
      <c r="A747" s="7"/>
    </row>
    <row r="748" spans="1:1" ht="15.75" customHeight="1">
      <c r="A748" s="7"/>
    </row>
    <row r="749" spans="1:1" ht="15.75" customHeight="1">
      <c r="A749" s="7"/>
    </row>
    <row r="750" spans="1:1" ht="15.75" customHeight="1">
      <c r="A750" s="7"/>
    </row>
    <row r="751" spans="1:1" ht="15.75" customHeight="1">
      <c r="A751" s="7"/>
    </row>
    <row r="752" spans="1:1" ht="15.75" customHeight="1">
      <c r="A752" s="7"/>
    </row>
    <row r="753" spans="1:1" ht="15.75" customHeight="1">
      <c r="A753" s="7"/>
    </row>
    <row r="754" spans="1:1" ht="15.75" customHeight="1">
      <c r="A754" s="7"/>
    </row>
    <row r="755" spans="1:1" ht="15.75" customHeight="1">
      <c r="A755" s="7"/>
    </row>
    <row r="756" spans="1:1" ht="15.75" customHeight="1">
      <c r="A756" s="7"/>
    </row>
    <row r="757" spans="1:1" ht="15.75" customHeight="1">
      <c r="A757" s="7"/>
    </row>
    <row r="758" spans="1:1" ht="15.75" customHeight="1">
      <c r="A758" s="7"/>
    </row>
    <row r="759" spans="1:1" ht="15.75" customHeight="1">
      <c r="A759" s="7"/>
    </row>
    <row r="760" spans="1:1" ht="15.75" customHeight="1">
      <c r="A760" s="7"/>
    </row>
    <row r="761" spans="1:1" ht="15.75" customHeight="1">
      <c r="A761" s="7"/>
    </row>
    <row r="762" spans="1:1" ht="15.75" customHeight="1">
      <c r="A762" s="7"/>
    </row>
    <row r="763" spans="1:1" ht="15.75" customHeight="1">
      <c r="A763" s="7"/>
    </row>
    <row r="764" spans="1:1" ht="15.75" customHeight="1">
      <c r="A764" s="7"/>
    </row>
    <row r="765" spans="1:1" ht="15.75" customHeight="1">
      <c r="A765" s="7"/>
    </row>
    <row r="766" spans="1:1" ht="15.75" customHeight="1">
      <c r="A766" s="7"/>
    </row>
    <row r="767" spans="1:1" ht="15.75" customHeight="1">
      <c r="A767" s="7"/>
    </row>
    <row r="768" spans="1:1" ht="15.75" customHeight="1">
      <c r="A768" s="7"/>
    </row>
    <row r="769" spans="1:1" ht="15.75" customHeight="1">
      <c r="A769" s="7"/>
    </row>
    <row r="770" spans="1:1" ht="15.75" customHeight="1">
      <c r="A770" s="7"/>
    </row>
    <row r="771" spans="1:1" ht="15.75" customHeight="1">
      <c r="A771" s="7"/>
    </row>
    <row r="772" spans="1:1" ht="15.75" customHeight="1">
      <c r="A772" s="7"/>
    </row>
    <row r="773" spans="1:1" ht="15.75" customHeight="1">
      <c r="A773" s="7"/>
    </row>
    <row r="774" spans="1:1" ht="15.75" customHeight="1">
      <c r="A774" s="7"/>
    </row>
    <row r="775" spans="1:1" ht="15.75" customHeight="1">
      <c r="A775" s="7"/>
    </row>
    <row r="776" spans="1:1" ht="15.75" customHeight="1">
      <c r="A776" s="7"/>
    </row>
    <row r="777" spans="1:1" ht="15.75" customHeight="1">
      <c r="A777" s="7"/>
    </row>
    <row r="778" spans="1:1" ht="15.75" customHeight="1">
      <c r="A778" s="7"/>
    </row>
    <row r="779" spans="1:1" ht="15.75" customHeight="1">
      <c r="A779" s="7"/>
    </row>
    <row r="780" spans="1:1" ht="15.75" customHeight="1">
      <c r="A780" s="7"/>
    </row>
    <row r="781" spans="1:1" ht="15.75" customHeight="1">
      <c r="A781" s="7"/>
    </row>
    <row r="782" spans="1:1" ht="15.75" customHeight="1">
      <c r="A782" s="7"/>
    </row>
    <row r="783" spans="1:1" ht="15.75" customHeight="1">
      <c r="A783" s="7"/>
    </row>
    <row r="784" spans="1:1" ht="15.75" customHeight="1">
      <c r="A784" s="7"/>
    </row>
    <row r="785" spans="1:1" ht="15.75" customHeight="1">
      <c r="A785" s="7"/>
    </row>
    <row r="786" spans="1:1" ht="15.75" customHeight="1">
      <c r="A786" s="7"/>
    </row>
    <row r="787" spans="1:1" ht="15.75" customHeight="1">
      <c r="A787" s="7"/>
    </row>
    <row r="788" spans="1:1" ht="15.75" customHeight="1">
      <c r="A788" s="7"/>
    </row>
    <row r="789" spans="1:1" ht="15.75" customHeight="1">
      <c r="A789" s="7"/>
    </row>
    <row r="790" spans="1:1" ht="15.75" customHeight="1">
      <c r="A790" s="7"/>
    </row>
    <row r="791" spans="1:1" ht="15.75" customHeight="1">
      <c r="A791" s="7"/>
    </row>
    <row r="792" spans="1:1" ht="15.75" customHeight="1">
      <c r="A792" s="7"/>
    </row>
    <row r="793" spans="1:1" ht="15.75" customHeight="1">
      <c r="A793" s="7"/>
    </row>
    <row r="794" spans="1:1" ht="15.75" customHeight="1">
      <c r="A794" s="7"/>
    </row>
    <row r="795" spans="1:1" ht="15.75" customHeight="1">
      <c r="A795" s="7"/>
    </row>
    <row r="796" spans="1:1" ht="15.75" customHeight="1">
      <c r="A796" s="7"/>
    </row>
    <row r="797" spans="1:1" ht="15.75" customHeight="1">
      <c r="A797" s="7"/>
    </row>
    <row r="798" spans="1:1" ht="15.75" customHeight="1">
      <c r="A798" s="7"/>
    </row>
    <row r="799" spans="1:1" ht="15.75" customHeight="1">
      <c r="A799" s="7"/>
    </row>
    <row r="800" spans="1:1" ht="15.75" customHeight="1">
      <c r="A800" s="7"/>
    </row>
    <row r="801" spans="1:1" ht="15.75" customHeight="1">
      <c r="A801" s="7"/>
    </row>
    <row r="802" spans="1:1" ht="15.75" customHeight="1">
      <c r="A802" s="7"/>
    </row>
    <row r="803" spans="1:1" ht="15.75" customHeight="1">
      <c r="A803" s="7"/>
    </row>
    <row r="804" spans="1:1" ht="15.75" customHeight="1">
      <c r="A804" s="7"/>
    </row>
    <row r="805" spans="1:1" ht="15.75" customHeight="1">
      <c r="A805" s="7"/>
    </row>
    <row r="806" spans="1:1" ht="15.75" customHeight="1">
      <c r="A806" s="7"/>
    </row>
    <row r="807" spans="1:1" ht="15.75" customHeight="1">
      <c r="A807" s="7"/>
    </row>
    <row r="808" spans="1:1" ht="15.75" customHeight="1">
      <c r="A808" s="7"/>
    </row>
    <row r="809" spans="1:1" ht="15.75" customHeight="1">
      <c r="A809" s="7"/>
    </row>
    <row r="810" spans="1:1" ht="15.75" customHeight="1">
      <c r="A810" s="7"/>
    </row>
    <row r="811" spans="1:1" ht="15.75" customHeight="1">
      <c r="A811" s="7"/>
    </row>
    <row r="812" spans="1:1" ht="15.75" customHeight="1">
      <c r="A812" s="7"/>
    </row>
    <row r="813" spans="1:1" ht="15.75" customHeight="1">
      <c r="A813" s="7"/>
    </row>
    <row r="814" spans="1:1" ht="15.75" customHeight="1">
      <c r="A814" s="7"/>
    </row>
    <row r="815" spans="1:1" ht="15.75" customHeight="1">
      <c r="A815" s="7"/>
    </row>
    <row r="816" spans="1:1" ht="15.75" customHeight="1">
      <c r="A816" s="7"/>
    </row>
    <row r="817" spans="1:1" ht="15.75" customHeight="1">
      <c r="A817" s="7"/>
    </row>
    <row r="818" spans="1:1" ht="15.75" customHeight="1">
      <c r="A818" s="7"/>
    </row>
    <row r="819" spans="1:1" ht="15.75" customHeight="1">
      <c r="A819" s="7"/>
    </row>
    <row r="820" spans="1:1" ht="15.75" customHeight="1">
      <c r="A820" s="7"/>
    </row>
    <row r="821" spans="1:1" ht="15.75" customHeight="1">
      <c r="A821" s="7"/>
    </row>
    <row r="822" spans="1:1" ht="15.75" customHeight="1">
      <c r="A822" s="7"/>
    </row>
    <row r="823" spans="1:1" ht="15.75" customHeight="1">
      <c r="A823" s="7"/>
    </row>
    <row r="824" spans="1:1" ht="15.75" customHeight="1">
      <c r="A824" s="7"/>
    </row>
    <row r="825" spans="1:1" ht="15.75" customHeight="1">
      <c r="A825" s="7"/>
    </row>
    <row r="826" spans="1:1" ht="15.75" customHeight="1">
      <c r="A826" s="7"/>
    </row>
    <row r="827" spans="1:1" ht="15.75" customHeight="1">
      <c r="A827" s="7"/>
    </row>
    <row r="828" spans="1:1" ht="15.75" customHeight="1">
      <c r="A828" s="7"/>
    </row>
    <row r="829" spans="1:1" ht="15.75" customHeight="1">
      <c r="A829" s="7"/>
    </row>
    <row r="830" spans="1:1" ht="15.75" customHeight="1">
      <c r="A830" s="7"/>
    </row>
    <row r="831" spans="1:1" ht="15.75" customHeight="1">
      <c r="A831" s="7"/>
    </row>
    <row r="832" spans="1:1" ht="15.75" customHeight="1">
      <c r="A832" s="7"/>
    </row>
    <row r="833" spans="1:1" ht="15.75" customHeight="1">
      <c r="A833" s="7"/>
    </row>
    <row r="834" spans="1:1" ht="15.75" customHeight="1">
      <c r="A834" s="7"/>
    </row>
    <row r="835" spans="1:1" ht="15.75" customHeight="1">
      <c r="A835" s="7"/>
    </row>
    <row r="836" spans="1:1" ht="15.75" customHeight="1">
      <c r="A836" s="7"/>
    </row>
    <row r="837" spans="1:1" ht="15.75" customHeight="1">
      <c r="A837" s="7"/>
    </row>
    <row r="838" spans="1:1" ht="15.75" customHeight="1">
      <c r="A838" s="7"/>
    </row>
    <row r="839" spans="1:1" ht="15.75" customHeight="1">
      <c r="A839" s="7"/>
    </row>
    <row r="840" spans="1:1" ht="15.75" customHeight="1">
      <c r="A840" s="7"/>
    </row>
    <row r="841" spans="1:1" ht="15.75" customHeight="1">
      <c r="A841" s="7"/>
    </row>
    <row r="842" spans="1:1" ht="15.75" customHeight="1">
      <c r="A842" s="7"/>
    </row>
    <row r="843" spans="1:1" ht="15.75" customHeight="1">
      <c r="A843" s="7"/>
    </row>
    <row r="844" spans="1:1" ht="15.75" customHeight="1">
      <c r="A844" s="7"/>
    </row>
    <row r="845" spans="1:1" ht="15.75" customHeight="1">
      <c r="A845" s="7"/>
    </row>
    <row r="846" spans="1:1" ht="15.75" customHeight="1">
      <c r="A846" s="7"/>
    </row>
    <row r="847" spans="1:1" ht="15.75" customHeight="1">
      <c r="A847" s="7"/>
    </row>
    <row r="848" spans="1:1" ht="15.75" customHeight="1">
      <c r="A848" s="7"/>
    </row>
    <row r="849" spans="1:1" ht="15.75" customHeight="1">
      <c r="A849" s="7"/>
    </row>
    <row r="850" spans="1:1" ht="15.75" customHeight="1">
      <c r="A850" s="7"/>
    </row>
    <row r="851" spans="1:1" ht="15.75" customHeight="1">
      <c r="A851" s="7"/>
    </row>
    <row r="852" spans="1:1" ht="15.75" customHeight="1">
      <c r="A852" s="7"/>
    </row>
    <row r="853" spans="1:1" ht="15.75" customHeight="1">
      <c r="A853" s="7"/>
    </row>
    <row r="854" spans="1:1" ht="15.75" customHeight="1">
      <c r="A854" s="7"/>
    </row>
    <row r="855" spans="1:1" ht="15.75" customHeight="1">
      <c r="A855" s="7"/>
    </row>
    <row r="856" spans="1:1" ht="15.75" customHeight="1">
      <c r="A856" s="7"/>
    </row>
    <row r="857" spans="1:1" ht="15.75" customHeight="1">
      <c r="A857" s="7"/>
    </row>
    <row r="858" spans="1:1" ht="15.75" customHeight="1">
      <c r="A858" s="7"/>
    </row>
    <row r="859" spans="1:1" ht="15.75" customHeight="1">
      <c r="A859" s="7"/>
    </row>
    <row r="860" spans="1:1" ht="15.75" customHeight="1">
      <c r="A860" s="7"/>
    </row>
    <row r="861" spans="1:1" ht="15.75" customHeight="1">
      <c r="A861" s="7"/>
    </row>
    <row r="862" spans="1:1" ht="15.75" customHeight="1">
      <c r="A862" s="7"/>
    </row>
    <row r="863" spans="1:1" ht="15.75" customHeight="1">
      <c r="A863" s="7"/>
    </row>
    <row r="864" spans="1:1" ht="15.75" customHeight="1">
      <c r="A864" s="7"/>
    </row>
    <row r="865" spans="1:1" ht="15.75" customHeight="1">
      <c r="A865" s="7"/>
    </row>
    <row r="866" spans="1:1" ht="15.75" customHeight="1">
      <c r="A866" s="7"/>
    </row>
    <row r="867" spans="1:1" ht="15.75" customHeight="1">
      <c r="A867" s="7"/>
    </row>
    <row r="868" spans="1:1" ht="15.75" customHeight="1">
      <c r="A868" s="7"/>
    </row>
    <row r="869" spans="1:1" ht="15.75" customHeight="1">
      <c r="A869" s="7"/>
    </row>
    <row r="870" spans="1:1" ht="15.75" customHeight="1">
      <c r="A870" s="7"/>
    </row>
    <row r="871" spans="1:1" ht="15.75" customHeight="1">
      <c r="A871" s="7"/>
    </row>
    <row r="872" spans="1:1" ht="15.75" customHeight="1">
      <c r="A872" s="7"/>
    </row>
    <row r="873" spans="1:1" ht="15.75" customHeight="1">
      <c r="A873" s="7"/>
    </row>
    <row r="874" spans="1:1" ht="15.75" customHeight="1">
      <c r="A874" s="7"/>
    </row>
    <row r="875" spans="1:1" ht="15.75" customHeight="1">
      <c r="A875" s="7"/>
    </row>
    <row r="876" spans="1:1" ht="15.75" customHeight="1">
      <c r="A876" s="7"/>
    </row>
    <row r="877" spans="1:1" ht="15.75" customHeight="1">
      <c r="A877" s="7"/>
    </row>
    <row r="878" spans="1:1" ht="15.75" customHeight="1">
      <c r="A878" s="7"/>
    </row>
    <row r="879" spans="1:1" ht="15.75" customHeight="1">
      <c r="A879" s="7"/>
    </row>
    <row r="880" spans="1:1" ht="15.75" customHeight="1">
      <c r="A880" s="7"/>
    </row>
    <row r="881" spans="1:1" ht="15.75" customHeight="1">
      <c r="A881" s="7"/>
    </row>
    <row r="882" spans="1:1" ht="15.75" customHeight="1">
      <c r="A882" s="7"/>
    </row>
    <row r="883" spans="1:1" ht="15.75" customHeight="1">
      <c r="A883" s="7"/>
    </row>
    <row r="884" spans="1:1" ht="15.75" customHeight="1">
      <c r="A884" s="7"/>
    </row>
    <row r="885" spans="1:1" ht="15.75" customHeight="1">
      <c r="A885" s="7"/>
    </row>
    <row r="886" spans="1:1" ht="15.75" customHeight="1">
      <c r="A886" s="7"/>
    </row>
    <row r="887" spans="1:1" ht="15.75" customHeight="1">
      <c r="A887" s="7"/>
    </row>
    <row r="888" spans="1:1" ht="15.75" customHeight="1">
      <c r="A888" s="7"/>
    </row>
    <row r="889" spans="1:1" ht="15.75" customHeight="1">
      <c r="A889" s="7"/>
    </row>
    <row r="890" spans="1:1" ht="15.75" customHeight="1">
      <c r="A890" s="7"/>
    </row>
    <row r="891" spans="1:1" ht="15.75" customHeight="1">
      <c r="A891" s="7"/>
    </row>
    <row r="892" spans="1:1" ht="15.75" customHeight="1">
      <c r="A892" s="7"/>
    </row>
    <row r="893" spans="1:1" ht="15.75" customHeight="1">
      <c r="A893" s="7"/>
    </row>
    <row r="894" spans="1:1" ht="15.75" customHeight="1">
      <c r="A894" s="7"/>
    </row>
    <row r="895" spans="1:1" ht="15.75" customHeight="1">
      <c r="A895" s="7"/>
    </row>
    <row r="896" spans="1:1" ht="15.75" customHeight="1">
      <c r="A896" s="7"/>
    </row>
    <row r="897" spans="1:1" ht="15.75" customHeight="1">
      <c r="A897" s="7"/>
    </row>
    <row r="898" spans="1:1" ht="15.75" customHeight="1">
      <c r="A898" s="7"/>
    </row>
    <row r="899" spans="1:1" ht="15.75" customHeight="1">
      <c r="A899" s="7"/>
    </row>
    <row r="900" spans="1:1" ht="15.75" customHeight="1">
      <c r="A900" s="7"/>
    </row>
    <row r="901" spans="1:1" ht="15.75" customHeight="1">
      <c r="A901" s="7"/>
    </row>
    <row r="902" spans="1:1" ht="15.75" customHeight="1">
      <c r="A902" s="7"/>
    </row>
    <row r="903" spans="1:1" ht="15.75" customHeight="1">
      <c r="A903" s="7"/>
    </row>
    <row r="904" spans="1:1" ht="15.75" customHeight="1">
      <c r="A904" s="7"/>
    </row>
    <row r="905" spans="1:1" ht="15.75" customHeight="1">
      <c r="A905" s="7"/>
    </row>
    <row r="906" spans="1:1" ht="15.75" customHeight="1">
      <c r="A906" s="7"/>
    </row>
    <row r="907" spans="1:1" ht="15.75" customHeight="1">
      <c r="A907" s="7"/>
    </row>
    <row r="908" spans="1:1" ht="15.75" customHeight="1">
      <c r="A908" s="7"/>
    </row>
    <row r="909" spans="1:1" ht="15.75" customHeight="1">
      <c r="A909" s="7"/>
    </row>
    <row r="910" spans="1:1" ht="15.75" customHeight="1">
      <c r="A910" s="7"/>
    </row>
    <row r="911" spans="1:1" ht="15.75" customHeight="1">
      <c r="A911" s="7"/>
    </row>
    <row r="912" spans="1:1" ht="15.75" customHeight="1">
      <c r="A912" s="7"/>
    </row>
    <row r="913" spans="1:1" ht="15.75" customHeight="1">
      <c r="A913" s="7"/>
    </row>
    <row r="914" spans="1:1" ht="15.75" customHeight="1">
      <c r="A914" s="7"/>
    </row>
    <row r="915" spans="1:1" ht="15.75" customHeight="1">
      <c r="A915" s="7"/>
    </row>
    <row r="916" spans="1:1" ht="15.75" customHeight="1">
      <c r="A916" s="7"/>
    </row>
    <row r="917" spans="1:1" ht="15.75" customHeight="1">
      <c r="A917" s="7"/>
    </row>
    <row r="918" spans="1:1" ht="15.75" customHeight="1">
      <c r="A918" s="7"/>
    </row>
    <row r="919" spans="1:1" ht="15.75" customHeight="1">
      <c r="A919" s="7"/>
    </row>
    <row r="920" spans="1:1" ht="15.75" customHeight="1">
      <c r="A920" s="7"/>
    </row>
    <row r="921" spans="1:1" ht="15.75" customHeight="1">
      <c r="A921" s="7"/>
    </row>
    <row r="922" spans="1:1" ht="15.75" customHeight="1">
      <c r="A922" s="7"/>
    </row>
    <row r="923" spans="1:1" ht="15.75" customHeight="1">
      <c r="A923" s="7"/>
    </row>
    <row r="924" spans="1:1" ht="15.75" customHeight="1">
      <c r="A924" s="7"/>
    </row>
    <row r="925" spans="1:1" ht="15.75" customHeight="1">
      <c r="A925" s="7"/>
    </row>
    <row r="926" spans="1:1" ht="15.75" customHeight="1">
      <c r="A926" s="7"/>
    </row>
    <row r="927" spans="1:1" ht="15.75" customHeight="1">
      <c r="A927" s="7"/>
    </row>
    <row r="928" spans="1:1" ht="15.75" customHeight="1">
      <c r="A928" s="7"/>
    </row>
    <row r="929" spans="1:1" ht="15.75" customHeight="1">
      <c r="A929" s="7"/>
    </row>
    <row r="930" spans="1:1" ht="15.75" customHeight="1">
      <c r="A930" s="7"/>
    </row>
    <row r="931" spans="1:1" ht="15.75" customHeight="1">
      <c r="A931" s="7"/>
    </row>
    <row r="932" spans="1:1" ht="15.75" customHeight="1">
      <c r="A932" s="7"/>
    </row>
    <row r="933" spans="1:1" ht="15.75" customHeight="1">
      <c r="A933" s="7"/>
    </row>
    <row r="934" spans="1:1" ht="15.75" customHeight="1">
      <c r="A934" s="7"/>
    </row>
    <row r="935" spans="1:1" ht="15.75" customHeight="1">
      <c r="A935" s="7"/>
    </row>
    <row r="936" spans="1:1" ht="15.75" customHeight="1">
      <c r="A936" s="7"/>
    </row>
    <row r="937" spans="1:1" ht="15.75" customHeight="1">
      <c r="A937" s="7"/>
    </row>
    <row r="938" spans="1:1" ht="15.75" customHeight="1">
      <c r="A938" s="7"/>
    </row>
    <row r="939" spans="1:1" ht="15.75" customHeight="1">
      <c r="A939" s="7"/>
    </row>
    <row r="940" spans="1:1" ht="15.75" customHeight="1">
      <c r="A940" s="7"/>
    </row>
    <row r="941" spans="1:1" ht="15.75" customHeight="1">
      <c r="A941" s="7"/>
    </row>
    <row r="942" spans="1:1" ht="15.75" customHeight="1">
      <c r="A942" s="7"/>
    </row>
    <row r="943" spans="1:1" ht="15.75" customHeight="1">
      <c r="A943" s="7"/>
    </row>
    <row r="944" spans="1:1" ht="15.75" customHeight="1">
      <c r="A944" s="7"/>
    </row>
    <row r="945" spans="1:1" ht="15.75" customHeight="1">
      <c r="A945" s="7"/>
    </row>
    <row r="946" spans="1:1" ht="15.75" customHeight="1">
      <c r="A946" s="7"/>
    </row>
    <row r="947" spans="1:1" ht="15.75" customHeight="1">
      <c r="A947" s="7"/>
    </row>
    <row r="948" spans="1:1" ht="15.75" customHeight="1">
      <c r="A948" s="7"/>
    </row>
    <row r="949" spans="1:1" ht="15.75" customHeight="1">
      <c r="A949" s="7"/>
    </row>
    <row r="950" spans="1:1" ht="15.75" customHeight="1">
      <c r="A950" s="7"/>
    </row>
    <row r="951" spans="1:1" ht="15.75" customHeight="1">
      <c r="A951" s="7"/>
    </row>
    <row r="952" spans="1:1" ht="15.75" customHeight="1">
      <c r="A952" s="7"/>
    </row>
    <row r="953" spans="1:1" ht="15.75" customHeight="1">
      <c r="A953" s="7"/>
    </row>
    <row r="954" spans="1:1" ht="15.75" customHeight="1">
      <c r="A954" s="7"/>
    </row>
    <row r="955" spans="1:1" ht="15.75" customHeight="1">
      <c r="A955" s="7"/>
    </row>
    <row r="956" spans="1:1" ht="15.75" customHeight="1">
      <c r="A956" s="7"/>
    </row>
    <row r="957" spans="1:1" ht="15.75" customHeight="1">
      <c r="A957" s="7"/>
    </row>
    <row r="958" spans="1:1" ht="15.75" customHeight="1">
      <c r="A958" s="7"/>
    </row>
    <row r="959" spans="1:1" ht="15.75" customHeight="1">
      <c r="A959" s="7"/>
    </row>
    <row r="960" spans="1:1" ht="15.75" customHeight="1">
      <c r="A960" s="7"/>
    </row>
    <row r="961" spans="1:1" ht="15.75" customHeight="1">
      <c r="A961" s="7"/>
    </row>
    <row r="962" spans="1:1" ht="15.75" customHeight="1">
      <c r="A962" s="7"/>
    </row>
    <row r="963" spans="1:1" ht="15.75" customHeight="1">
      <c r="A963" s="7"/>
    </row>
    <row r="964" spans="1:1" ht="15.75" customHeight="1">
      <c r="A964" s="7"/>
    </row>
    <row r="965" spans="1:1" ht="15.75" customHeight="1">
      <c r="A965" s="7"/>
    </row>
    <row r="966" spans="1:1" ht="15.75" customHeight="1">
      <c r="A966" s="7"/>
    </row>
    <row r="967" spans="1:1" ht="15.75" customHeight="1">
      <c r="A967" s="7"/>
    </row>
    <row r="968" spans="1:1" ht="15.75" customHeight="1">
      <c r="A968" s="7"/>
    </row>
    <row r="969" spans="1:1" ht="15.75" customHeight="1">
      <c r="A969" s="7"/>
    </row>
    <row r="970" spans="1:1" ht="15.75" customHeight="1">
      <c r="A970" s="7"/>
    </row>
    <row r="971" spans="1:1" ht="15.75" customHeight="1">
      <c r="A971" s="7"/>
    </row>
    <row r="972" spans="1:1" ht="15.75" customHeight="1">
      <c r="A972" s="7"/>
    </row>
    <row r="973" spans="1:1" ht="15.75" customHeight="1">
      <c r="A973" s="7"/>
    </row>
    <row r="974" spans="1:1" ht="15.75" customHeight="1">
      <c r="A974" s="7"/>
    </row>
    <row r="975" spans="1:1" ht="15.75" customHeight="1">
      <c r="A975" s="7"/>
    </row>
    <row r="976" spans="1:1" ht="15.75" customHeight="1">
      <c r="A976" s="7"/>
    </row>
    <row r="977" spans="1:1" ht="15.75" customHeight="1">
      <c r="A977" s="7"/>
    </row>
    <row r="978" spans="1:1" ht="15.75" customHeight="1">
      <c r="A978" s="7"/>
    </row>
    <row r="979" spans="1:1" ht="15.75" customHeight="1">
      <c r="A979" s="7"/>
    </row>
    <row r="980" spans="1:1" ht="15.75" customHeight="1">
      <c r="A980" s="7"/>
    </row>
    <row r="981" spans="1:1" ht="15.75" customHeight="1">
      <c r="A981" s="7"/>
    </row>
    <row r="982" spans="1:1" ht="15.75" customHeight="1">
      <c r="A982" s="7"/>
    </row>
    <row r="983" spans="1:1" ht="15.75" customHeight="1">
      <c r="A983" s="7"/>
    </row>
    <row r="984" spans="1:1" ht="15.75" customHeight="1">
      <c r="A984" s="7"/>
    </row>
    <row r="985" spans="1:1" ht="15.75" customHeight="1">
      <c r="A985" s="7"/>
    </row>
    <row r="986" spans="1:1" ht="15.75" customHeight="1">
      <c r="A986" s="7"/>
    </row>
    <row r="987" spans="1:1" ht="15.75" customHeight="1">
      <c r="A987" s="7"/>
    </row>
    <row r="988" spans="1:1" ht="15.75" customHeight="1">
      <c r="A988" s="7"/>
    </row>
    <row r="989" spans="1:1" ht="15.75" customHeight="1">
      <c r="A989" s="7"/>
    </row>
    <row r="990" spans="1:1" ht="15.75" customHeight="1">
      <c r="A990" s="7"/>
    </row>
    <row r="991" spans="1:1" ht="15.75" customHeight="1">
      <c r="A991" s="7"/>
    </row>
    <row r="992" spans="1:1" ht="15.75" customHeight="1">
      <c r="A992" s="7"/>
    </row>
    <row r="993" spans="1:1" ht="15.75" customHeight="1">
      <c r="A993" s="7"/>
    </row>
    <row r="994" spans="1:1" ht="15.75" customHeight="1">
      <c r="A994" s="7"/>
    </row>
    <row r="995" spans="1:1" ht="15.75" customHeight="1">
      <c r="A995" s="7"/>
    </row>
    <row r="996" spans="1:1" ht="15.75" customHeight="1">
      <c r="A996" s="7"/>
    </row>
    <row r="997" spans="1:1" ht="15.75" customHeight="1">
      <c r="A997" s="7"/>
    </row>
    <row r="998" spans="1:1" ht="15.75" customHeight="1">
      <c r="A998" s="7"/>
    </row>
    <row r="999" spans="1:1" ht="15.75" customHeight="1">
      <c r="A999" s="7"/>
    </row>
    <row r="1000" spans="1:1" ht="15.75" customHeight="1">
      <c r="A1000" s="7"/>
    </row>
  </sheetData>
  <mergeCells count="3">
    <mergeCell ref="I21:L21"/>
    <mergeCell ref="M21:N21"/>
    <mergeCell ref="I22:L2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F.Abs</vt:lpstr>
      <vt:lpstr>F.Aleatorio</vt:lpstr>
      <vt:lpstr>F.Entero</vt:lpstr>
      <vt:lpstr>F.Potencia</vt:lpstr>
      <vt:lpstr>F.Raíz</vt:lpstr>
      <vt:lpstr>F.Redondear</vt:lpstr>
      <vt:lpstr>F.Sumar.Si</vt:lpstr>
      <vt:lpstr>F.Sumar.Si.Conjunto</vt:lpstr>
      <vt:lpstr>F.SumaProducto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Nick Muñoz Maldonado</dc:creator>
  <cp:lastModifiedBy>ADMIN</cp:lastModifiedBy>
  <dcterms:created xsi:type="dcterms:W3CDTF">2018-08-27T13:53:39Z</dcterms:created>
  <dcterms:modified xsi:type="dcterms:W3CDTF">2025-12-11T16:47:14Z</dcterms:modified>
</cp:coreProperties>
</file>