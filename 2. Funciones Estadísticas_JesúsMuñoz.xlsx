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F790B5-ADBB-4F5D-8CAD-9B48C8FC59DD}" xr6:coauthVersionLast="47" xr6:coauthVersionMax="47" xr10:uidLastSave="{00000000-0000-0000-0000-000000000000}"/>
  <bookViews>
    <workbookView xWindow="-120" yWindow="-120" windowWidth="29040" windowHeight="15720" tabRatio="618" firstSheet="6" activeTab="6" xr2:uid="{00000000-000D-0000-FFFF-FFFF00000000}"/>
  </bookViews>
  <sheets>
    <sheet name="F.Contar" sheetId="1" r:id="rId1"/>
    <sheet name="F.Contara" sheetId="2" r:id="rId2"/>
    <sheet name="F.Contar.Si" sheetId="4" r:id="rId3"/>
    <sheet name="F.Contar.Si.Conjunto" sheetId="5" r:id="rId4"/>
    <sheet name="F.Contar.Blanco" sheetId="6" r:id="rId5"/>
    <sheet name="F.K.Esimo.Mayor" sheetId="11" r:id="rId6"/>
    <sheet name="F.K.Esimo.Menor" sheetId="12" r:id="rId7"/>
    <sheet name="F.Pronostico" sheetId="9" r:id="rId8"/>
    <sheet name="F.Jerarquia.Eqv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14" l="1"/>
  <c r="K22" i="14"/>
  <c r="K23" i="14"/>
  <c r="K24" i="14"/>
  <c r="K25" i="14"/>
  <c r="K26" i="14"/>
  <c r="K27" i="14"/>
  <c r="K28" i="14"/>
  <c r="K29" i="14"/>
  <c r="K30" i="14"/>
  <c r="K21" i="14"/>
  <c r="J22" i="14"/>
  <c r="J23" i="14"/>
  <c r="J24" i="14"/>
  <c r="J25" i="14"/>
  <c r="J26" i="14"/>
  <c r="J27" i="14"/>
  <c r="J28" i="14"/>
  <c r="J29" i="14"/>
  <c r="J30" i="14"/>
  <c r="P28" i="2"/>
  <c r="S35" i="1" l="1"/>
  <c r="S34" i="1"/>
  <c r="S33" i="1"/>
  <c r="S32" i="1"/>
  <c r="J34" i="1"/>
  <c r="J33" i="1"/>
  <c r="N34" i="12"/>
  <c r="N31" i="12"/>
  <c r="N28" i="12"/>
  <c r="P29" i="2"/>
  <c r="I31" i="2"/>
  <c r="I29" i="2"/>
  <c r="R32" i="4"/>
  <c r="R33" i="4"/>
  <c r="R31" i="4"/>
  <c r="R28" i="4"/>
  <c r="R27" i="4"/>
  <c r="R24" i="4"/>
  <c r="R23" i="4"/>
  <c r="O36" i="5"/>
  <c r="O31" i="5"/>
  <c r="O26" i="5"/>
  <c r="Q29" i="6"/>
  <c r="I30" i="6"/>
  <c r="I28" i="6"/>
  <c r="N34" i="11"/>
  <c r="N31" i="11"/>
  <c r="N28" i="11"/>
  <c r="N25" i="11"/>
  <c r="N25" i="12"/>
  <c r="N22" i="12"/>
  <c r="H27" i="9"/>
  <c r="N22" i="11"/>
  <c r="Q28" i="6"/>
  <c r="I27" i="6"/>
  <c r="R22" i="4"/>
  <c r="O21" i="5"/>
  <c r="I28" i="2"/>
  <c r="J32" i="1"/>
  <c r="I30" i="14"/>
  <c r="I29" i="14"/>
  <c r="I28" i="14"/>
  <c r="I27" i="14"/>
  <c r="I26" i="14"/>
  <c r="I25" i="14"/>
  <c r="I24" i="14"/>
  <c r="I23" i="14"/>
  <c r="I22" i="14"/>
  <c r="I21" i="14"/>
</calcChain>
</file>

<file path=xl/sharedStrings.xml><?xml version="1.0" encoding="utf-8"?>
<sst xmlns="http://schemas.openxmlformats.org/spreadsheetml/2006/main" count="854" uniqueCount="202">
  <si>
    <t>Concepto:</t>
  </si>
  <si>
    <t>Sintaxis:</t>
  </si>
  <si>
    <t>Ejemplo1:</t>
  </si>
  <si>
    <t>Ejemplo2:</t>
  </si>
  <si>
    <t>Planilla de Pagos del Personal Fundo "San Juan"</t>
  </si>
  <si>
    <t>Mes: Agosto</t>
  </si>
  <si>
    <t>Personal</t>
  </si>
  <si>
    <t>Turno</t>
  </si>
  <si>
    <t>Sexo</t>
  </si>
  <si>
    <t>Estado Civil</t>
  </si>
  <si>
    <t>Sueldo</t>
  </si>
  <si>
    <t>Hijos</t>
  </si>
  <si>
    <t>Tardanza</t>
  </si>
  <si>
    <t>Bonificación</t>
  </si>
  <si>
    <t>Rodriguez Mayurí María</t>
  </si>
  <si>
    <t>Castañeda Cedillo Rosangela</t>
  </si>
  <si>
    <t>Agurto Campos Miguel</t>
  </si>
  <si>
    <t>Paz Ayulo Sujgey</t>
  </si>
  <si>
    <t>Quispe Flores Patricia</t>
  </si>
  <si>
    <t>Soto Rivera Melisa</t>
  </si>
  <si>
    <t>Rivera Rodriguez Tito</t>
  </si>
  <si>
    <t>Espinoza Alegre Mariana</t>
  </si>
  <si>
    <t>Pinillos Gutierres Zaida</t>
  </si>
  <si>
    <t>Huacache Alvarado Ronald</t>
  </si>
  <si>
    <t>Hilario Paucar Paola</t>
  </si>
  <si>
    <t>Villar Orihuela Jessica</t>
  </si>
  <si>
    <t>Guevara Rodríguez José</t>
  </si>
  <si>
    <t>Lozana Ravichagua Erika</t>
  </si>
  <si>
    <t>Marcos Vales Sofia</t>
  </si>
  <si>
    <t>Poma Suvilca Eder</t>
  </si>
  <si>
    <t>Ledesma Paco Teresa</t>
  </si>
  <si>
    <t>Miranda Sefler Omar</t>
  </si>
  <si>
    <t>Carrazco Montoya Yaya</t>
  </si>
  <si>
    <t>Ovando Leton Camila</t>
  </si>
  <si>
    <t>Renteria Velez Linda</t>
  </si>
  <si>
    <t>Kaser Cespedes Itan</t>
  </si>
  <si>
    <t>Falcon Matias Raul</t>
  </si>
  <si>
    <t>Lopez Davalos Roymer</t>
  </si>
  <si>
    <t>Linares Paredes Esteban</t>
  </si>
  <si>
    <t>Morales Duarez Dario</t>
  </si>
  <si>
    <t>Enriquez Lujan Damian</t>
  </si>
  <si>
    <t>Castro Paz Sandra</t>
  </si>
  <si>
    <t>Klinton Ferrer Fatima</t>
  </si>
  <si>
    <t>Santos Farfan Gabriela</t>
  </si>
  <si>
    <t>A</t>
  </si>
  <si>
    <t>B</t>
  </si>
  <si>
    <t>C</t>
  </si>
  <si>
    <t>M</t>
  </si>
  <si>
    <t>T</t>
  </si>
  <si>
    <t>N</t>
  </si>
  <si>
    <t>F</t>
  </si>
  <si>
    <t>S</t>
  </si>
  <si>
    <t>Mejía Tirado Manuel</t>
  </si>
  <si>
    <t>Categoría</t>
  </si>
  <si>
    <t>Categoria B</t>
  </si>
  <si>
    <t>Categoria A</t>
  </si>
  <si>
    <t>Producto</t>
  </si>
  <si>
    <t>Cantidad</t>
  </si>
  <si>
    <t>TEMA: FUNCIONES ESTADÍSTICAS</t>
  </si>
  <si>
    <t>Función CONTAR</t>
  </si>
  <si>
    <t>NOMBRE</t>
  </si>
  <si>
    <t>EDAD</t>
  </si>
  <si>
    <t>PESO</t>
  </si>
  <si>
    <t>ALTURA</t>
  </si>
  <si>
    <t>CARLOS</t>
  </si>
  <si>
    <t>KEVIN</t>
  </si>
  <si>
    <t>RENZO</t>
  </si>
  <si>
    <t>JAIR</t>
  </si>
  <si>
    <t>CLAUDIA</t>
  </si>
  <si>
    <t>ERICK</t>
  </si>
  <si>
    <t>LORENA</t>
  </si>
  <si>
    <t>FIORELLA</t>
  </si>
  <si>
    <t>-</t>
  </si>
  <si>
    <t>JACQUELINE</t>
  </si>
  <si>
    <t>ARTURO</t>
  </si>
  <si>
    <t>DE CUÁNTAS PERSONAS CONOZCO EL DATO ALTURA</t>
  </si>
  <si>
    <t>DE CUÁNTAS PERSONAS CONOZCO EL DATO PESO</t>
  </si>
  <si>
    <t>ALUMNO</t>
  </si>
  <si>
    <t>PRÁCTICA 1</t>
  </si>
  <si>
    <t>PRÁCTICA 2</t>
  </si>
  <si>
    <t>PRÁCTICA 3</t>
  </si>
  <si>
    <t>EXAMEN FINAL</t>
  </si>
  <si>
    <t>PEDRO</t>
  </si>
  <si>
    <t>CAMILA</t>
  </si>
  <si>
    <t>EVA</t>
  </si>
  <si>
    <t>GEISON</t>
  </si>
  <si>
    <t>ALEXANDRA</t>
  </si>
  <si>
    <t>MICHAEL</t>
  </si>
  <si>
    <t>ALDO</t>
  </si>
  <si>
    <t>ANA</t>
  </si>
  <si>
    <t>ALEX</t>
  </si>
  <si>
    <t>JOSÉ</t>
  </si>
  <si>
    <t>DETERMINAR CUÁNTOS ALUMNOS PARTICIPAN EN LA CLASE</t>
  </si>
  <si>
    <t>CUÁNTOS ALUMNOS RIENDIERON LA PRÁCTICA 1</t>
  </si>
  <si>
    <t>CUÁNTOS ALUMNOS RIENDIERON LA PRÁCTICA 2</t>
  </si>
  <si>
    <t>CUÁNTOS ALUMNOS RIENDIERON EL EXAMEN FINAL</t>
  </si>
  <si>
    <t>DETERMINAR DE CUÁNTAS PERSONAS TENGO LOS DATOS COMPLETOS</t>
  </si>
  <si>
    <t>Función Contara</t>
  </si>
  <si>
    <t>No toma en cuenta las celdas con contenido de tipo texto.</t>
  </si>
  <si>
    <t>Toma en cuenta las celdas con contenido de tipo texto y númerico.</t>
  </si>
  <si>
    <t>Código</t>
  </si>
  <si>
    <t>Computadoras</t>
  </si>
  <si>
    <t>Impresoras</t>
  </si>
  <si>
    <t>A001</t>
  </si>
  <si>
    <t>Área</t>
  </si>
  <si>
    <t>Ventas</t>
  </si>
  <si>
    <t>Logística</t>
  </si>
  <si>
    <t>Operaciones</t>
  </si>
  <si>
    <t>Recursos Humanos</t>
  </si>
  <si>
    <t>Marketing</t>
  </si>
  <si>
    <t>Activos de la empresa "Santo Domingo"</t>
  </si>
  <si>
    <t>Contabilidad</t>
  </si>
  <si>
    <t>A045</t>
  </si>
  <si>
    <t>A022</t>
  </si>
  <si>
    <t>A89F</t>
  </si>
  <si>
    <t>Calcular cuántas áreas poseen computadoras</t>
  </si>
  <si>
    <t>Calcular cuántas áreas poseen folders</t>
  </si>
  <si>
    <t>Calcular cuántas áreas poseen impresoras</t>
  </si>
  <si>
    <t>Calcular cuántos activos poseen un código de identificación</t>
  </si>
  <si>
    <t>Mesas</t>
  </si>
  <si>
    <t>Cuadernos</t>
  </si>
  <si>
    <t>Lapiceros</t>
  </si>
  <si>
    <t>Plumones</t>
  </si>
  <si>
    <t>Útiles de oficina de la empresa "Soluciones Digitales S.A.C"</t>
  </si>
  <si>
    <t>SD02231</t>
  </si>
  <si>
    <t>SD0241</t>
  </si>
  <si>
    <t>SD1P32</t>
  </si>
  <si>
    <t>SD741H</t>
  </si>
  <si>
    <t>Función Contar.Si</t>
  </si>
  <si>
    <t>Determinar el total de las siguientes categorías</t>
  </si>
  <si>
    <t>Categoria C</t>
  </si>
  <si>
    <t>Determinar el total de los siguientes estados</t>
  </si>
  <si>
    <t>Soltero - S</t>
  </si>
  <si>
    <t>Casados - C</t>
  </si>
  <si>
    <t>Determinar el total de los siguientes turnos</t>
  </si>
  <si>
    <t>Mañana - M</t>
  </si>
  <si>
    <t>Tarde - T</t>
  </si>
  <si>
    <t>Noche - N</t>
  </si>
  <si>
    <t>Función Contar.Si.Conjunto</t>
  </si>
  <si>
    <t>Fecha</t>
  </si>
  <si>
    <t>Almacén</t>
  </si>
  <si>
    <t>Ciudad</t>
  </si>
  <si>
    <t>Importe</t>
  </si>
  <si>
    <t>Intercambiador</t>
  </si>
  <si>
    <t>Chincha</t>
  </si>
  <si>
    <t>Pisco</t>
  </si>
  <si>
    <t>Puerto</t>
  </si>
  <si>
    <t>Ica</t>
  </si>
  <si>
    <t>General</t>
  </si>
  <si>
    <t>PC fijo</t>
  </si>
  <si>
    <t>Aeropuerto</t>
  </si>
  <si>
    <t>Cañete</t>
  </si>
  <si>
    <t>Determinar la cantidad de los siguientes criterios</t>
  </si>
  <si>
    <t>Portátil</t>
  </si>
  <si>
    <t>Función Contar.Blanco</t>
  </si>
  <si>
    <t>Calcular cuántos activos no poseen un código de identificación</t>
  </si>
  <si>
    <t>Calcular cuántas áreas no poseen computadoras</t>
  </si>
  <si>
    <t>Calcular cuántas áreas no poseen folders</t>
  </si>
  <si>
    <t>Calcular cuántas áreas no poseen impresoras</t>
  </si>
  <si>
    <t>Calcular cuántos activos  no poseen un código de identificación</t>
  </si>
  <si>
    <t>Función K.ESIMO.MAYOR</t>
  </si>
  <si>
    <t>Determinar el 2º sueldo mayor</t>
  </si>
  <si>
    <t>Determinar el 4º sueldo mayor</t>
  </si>
  <si>
    <t>Determinar la 3cera bonificación mayor</t>
  </si>
  <si>
    <t>Determinar la 6ta bonificación mayor</t>
  </si>
  <si>
    <t>Determinar la 5ta bonificación mayor</t>
  </si>
  <si>
    <t>Determinar el 3º sueldo menor</t>
  </si>
  <si>
    <t>Determinar el 6º sueldo menor</t>
  </si>
  <si>
    <t>Determinar la 7tima bonificación menor</t>
  </si>
  <si>
    <t>Determinar la 3cera bonificación menor</t>
  </si>
  <si>
    <t>Determinar la 9vena bonificación menor</t>
  </si>
  <si>
    <t>Función PRONOSTICO</t>
  </si>
  <si>
    <t>Zona</t>
  </si>
  <si>
    <t>Norte</t>
  </si>
  <si>
    <t>Cuadro de ventas de lámparas</t>
  </si>
  <si>
    <t>Lámparas</t>
  </si>
  <si>
    <t>Halógenas</t>
  </si>
  <si>
    <t>LHA-202</t>
  </si>
  <si>
    <t>LHA-302</t>
  </si>
  <si>
    <t>LHA-402</t>
  </si>
  <si>
    <t>LHA-502</t>
  </si>
  <si>
    <t>LHA-602</t>
  </si>
  <si>
    <t>LHA-702</t>
  </si>
  <si>
    <t>LHA-802</t>
  </si>
  <si>
    <t>LHA-902</t>
  </si>
  <si>
    <t>Promedio Final</t>
  </si>
  <si>
    <t xml:space="preserve"> valores de la lista; si más de un valor tiene la misma jerarquía, se devuelve la jerarquía superior de ese conjunto de valores.</t>
  </si>
  <si>
    <t>Determina el orden de mérito de mayor a menor nota (0)</t>
  </si>
  <si>
    <t>Determina el orden de mérito de menor a mayor nota (1)</t>
  </si>
  <si>
    <t>AÑO</t>
  </si>
  <si>
    <t>VENTAS</t>
  </si>
  <si>
    <t>Función JERARQUIA.EQV</t>
  </si>
  <si>
    <r>
      <t xml:space="preserve">La </t>
    </r>
    <r>
      <rPr>
        <b/>
        <sz val="12"/>
        <color rgb="FFFF6060"/>
        <rFont val="Century Gothic"/>
        <family val="1"/>
      </rPr>
      <t>función Contar</t>
    </r>
    <r>
      <rPr>
        <sz val="12"/>
        <color rgb="FF4F4F4F"/>
        <rFont val="Century Gothic"/>
        <family val="2"/>
      </rPr>
      <t xml:space="preserve"> permite conocer cuántos números hay en la lista de argumentos.</t>
    </r>
  </si>
  <si>
    <r>
      <t>La</t>
    </r>
    <r>
      <rPr>
        <sz val="12"/>
        <color rgb="FFFF6060"/>
        <rFont val="Inter"/>
      </rPr>
      <t xml:space="preserve"> </t>
    </r>
    <r>
      <rPr>
        <b/>
        <sz val="12"/>
        <color rgb="FFFF6060"/>
        <rFont val="Century Gothic"/>
        <family val="2"/>
      </rPr>
      <t>función Contara</t>
    </r>
    <r>
      <rPr>
        <sz val="12"/>
        <color rgb="FF4F4F4F"/>
        <rFont val="Century Gothic"/>
        <family val="2"/>
      </rPr>
      <t xml:space="preserve"> </t>
    </r>
    <r>
      <rPr>
        <sz val="12"/>
        <color rgb="FF4F4F4F"/>
        <rFont val="Inter"/>
      </rPr>
      <t>te permite contar el número de celdas no vacías de un rango.</t>
    </r>
  </si>
  <si>
    <r>
      <t xml:space="preserve">La </t>
    </r>
    <r>
      <rPr>
        <b/>
        <sz val="12"/>
        <color rgb="FFFF6060"/>
        <rFont val="Inter"/>
      </rPr>
      <t>función Contar.Si</t>
    </r>
    <r>
      <rPr>
        <sz val="12"/>
        <color rgb="FF4F4F4F"/>
        <rFont val="Inter"/>
      </rPr>
      <t xml:space="preserve"> permite contar las celdas, dentro del rango, que no están en blanco y que cumplen con el criterio especificado. </t>
    </r>
  </si>
  <si>
    <r>
      <t xml:space="preserve">La </t>
    </r>
    <r>
      <rPr>
        <b/>
        <sz val="12"/>
        <color rgb="FFFF6060"/>
        <rFont val="Inter"/>
      </rPr>
      <t>función Potencia</t>
    </r>
    <r>
      <rPr>
        <sz val="12"/>
        <color rgb="FF4F4F4F"/>
        <rFont val="Inter"/>
      </rPr>
      <t xml:space="preserve"> permite contar el número de celdas que cumplen un determinado conjunto de condiciones o criterios.</t>
    </r>
  </si>
  <si>
    <r>
      <t xml:space="preserve">La </t>
    </r>
    <r>
      <rPr>
        <b/>
        <sz val="12"/>
        <color rgb="FFFF6060"/>
        <rFont val="Inter"/>
      </rPr>
      <t>función Contar.Blanco</t>
    </r>
    <r>
      <rPr>
        <sz val="12"/>
        <color rgb="FF4F4F4F"/>
        <rFont val="Inter"/>
      </rPr>
      <t xml:space="preserve"> te permite contar el número de celdas en blanco dentro de un rango especificado.</t>
    </r>
  </si>
  <si>
    <r>
      <t xml:space="preserve">La </t>
    </r>
    <r>
      <rPr>
        <b/>
        <sz val="12"/>
        <color rgb="FFFF6060"/>
        <rFont val="Inter"/>
      </rPr>
      <t>función K.Esimo.Mayor</t>
    </r>
    <r>
      <rPr>
        <sz val="12"/>
        <color rgb="FF4F4F4F"/>
        <rFont val="Inter"/>
      </rPr>
      <t xml:space="preserve"> devuelve el valor k-ésimo mayor de un conjunto de datos. Por ejemplo, el trigésimo número más grande.</t>
    </r>
  </si>
  <si>
    <r>
      <t xml:space="preserve">La </t>
    </r>
    <r>
      <rPr>
        <b/>
        <sz val="12"/>
        <color rgb="FFFF6060"/>
        <rFont val="Inter"/>
      </rPr>
      <t>función K.Esimo.Mayor</t>
    </r>
    <r>
      <rPr>
        <sz val="12"/>
        <color rgb="FF4F4F4F"/>
        <rFont val="Inter"/>
      </rPr>
      <t xml:space="preserve"> devuelve el valor k-ésimo menor de un conjunto de datos. Por ejemplo, el trigésimo número menos grande.</t>
    </r>
  </si>
  <si>
    <r>
      <t xml:space="preserve">La </t>
    </r>
    <r>
      <rPr>
        <b/>
        <sz val="12"/>
        <color rgb="FFFF6060"/>
        <rFont val="Inter"/>
      </rPr>
      <t>función Pronostico</t>
    </r>
    <r>
      <rPr>
        <sz val="12"/>
        <color rgb="FF4F4F4F"/>
        <rFont val="Inter"/>
      </rPr>
      <t xml:space="preserve"> permite calcular o predecir un valor futuro en una tendencia lineal usando valores existentes.</t>
    </r>
  </si>
  <si>
    <r>
      <t xml:space="preserve">La </t>
    </r>
    <r>
      <rPr>
        <b/>
        <sz val="12"/>
        <color rgb="FFFF6060"/>
        <rFont val="Inter"/>
      </rPr>
      <t>función jerarquia.Eqv</t>
    </r>
    <r>
      <rPr>
        <sz val="12"/>
        <color rgb="FF4F4F4F"/>
        <rFont val="Inter"/>
      </rPr>
      <t xml:space="preserve"> devuelve la jerarquía de un número dentro de una lista de números: su tamaño en relación con otros</t>
    </r>
  </si>
  <si>
    <t>Función K.ESIMO.MENOR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</si>
</sst>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rgb="FF013C64"/>
      <name val="Century Gothic"/>
      <family val="2"/>
    </font>
    <font>
      <sz val="12"/>
      <color theme="1"/>
      <name val="Century Gothic"/>
      <family val="2"/>
    </font>
    <font>
      <sz val="11"/>
      <color theme="0"/>
      <name val="Century Gothic"/>
      <family val="2"/>
    </font>
    <font>
      <sz val="12"/>
      <name val="Century Gothic"/>
      <family val="2"/>
    </font>
    <font>
      <sz val="11"/>
      <name val="Calibri"/>
      <family val="2"/>
      <scheme val="minor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4F4F4F"/>
      <name val="Calibri"/>
      <family val="2"/>
      <scheme val="minor"/>
    </font>
    <font>
      <sz val="11"/>
      <color rgb="FFF4F8F9"/>
      <name val="Calibri"/>
      <family val="2"/>
      <scheme val="minor"/>
    </font>
    <font>
      <b/>
      <sz val="29"/>
      <color rgb="FF000000"/>
      <name val="Krona One"/>
    </font>
    <font>
      <b/>
      <sz val="15"/>
      <color theme="3"/>
      <name val="Inter"/>
    </font>
    <font>
      <b/>
      <sz val="16"/>
      <color rgb="FFFF6060"/>
      <name val="Inter"/>
    </font>
    <font>
      <b/>
      <sz val="12"/>
      <color theme="1"/>
      <name val="Inter"/>
    </font>
    <font>
      <sz val="12"/>
      <color theme="1"/>
      <name val="Inter"/>
    </font>
    <font>
      <sz val="11"/>
      <color theme="1"/>
      <name val="Inter"/>
    </font>
    <font>
      <sz val="12"/>
      <color rgb="FF4F4F4F"/>
      <name val="Inter"/>
    </font>
    <font>
      <sz val="12"/>
      <color rgb="FF4F4F4F"/>
      <name val="Century Gothic"/>
      <family val="2"/>
    </font>
    <font>
      <b/>
      <sz val="12"/>
      <color rgb="FFFF6060"/>
      <name val="Century Gothic"/>
      <family val="1"/>
    </font>
    <font>
      <sz val="12"/>
      <color rgb="FFFF6060"/>
      <name val="Inter"/>
    </font>
    <font>
      <b/>
      <sz val="12"/>
      <color rgb="FFFF6060"/>
      <name val="Century Gothic"/>
      <family val="2"/>
    </font>
    <font>
      <sz val="11"/>
      <color rgb="FF4F4F4F"/>
      <name val="Inter"/>
    </font>
    <font>
      <b/>
      <sz val="12"/>
      <color rgb="FFFF6060"/>
      <name val="Inter"/>
    </font>
    <font>
      <sz val="12"/>
      <name val="Inter"/>
    </font>
    <font>
      <sz val="11"/>
      <name val="Inter"/>
    </font>
    <font>
      <sz val="11"/>
      <color rgb="FF000000"/>
      <name val="Inter"/>
    </font>
    <font>
      <b/>
      <sz val="12"/>
      <color theme="1" tint="4.9989318521683403E-2"/>
      <name val="Int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4F4F"/>
        <bgColor indexed="64"/>
      </patternFill>
    </fill>
    <fill>
      <patternFill patternType="solid">
        <fgColor rgb="FF7ADBD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rgb="FF838383"/>
      </left>
      <right style="medium">
        <color rgb="FF838383"/>
      </right>
      <top style="medium">
        <color rgb="FF838383"/>
      </top>
      <bottom style="medium">
        <color rgb="FF838383"/>
      </bottom>
      <diagonal/>
    </border>
    <border>
      <left style="medium">
        <color rgb="FF838383"/>
      </left>
      <right/>
      <top/>
      <bottom/>
      <diagonal/>
    </border>
    <border>
      <left style="medium">
        <color rgb="FF838383"/>
      </left>
      <right/>
      <top style="medium">
        <color rgb="FF838383"/>
      </top>
      <bottom style="medium">
        <color rgb="FF838383"/>
      </bottom>
      <diagonal/>
    </border>
    <border>
      <left/>
      <right style="medium">
        <color rgb="FF838383"/>
      </right>
      <top style="medium">
        <color rgb="FF838383"/>
      </top>
      <bottom style="medium">
        <color rgb="FF838383"/>
      </bottom>
      <diagonal/>
    </border>
    <border>
      <left/>
      <right style="medium">
        <color rgb="FF838383"/>
      </right>
      <top/>
      <bottom/>
      <diagonal/>
    </border>
    <border>
      <left style="medium">
        <color rgb="FF838383"/>
      </left>
      <right/>
      <top/>
      <bottom style="medium">
        <color rgb="FF838383"/>
      </bottom>
      <diagonal/>
    </border>
    <border>
      <left/>
      <right style="medium">
        <color rgb="FF838383"/>
      </right>
      <top/>
      <bottom style="medium">
        <color rgb="FF838383"/>
      </bottom>
      <diagonal/>
    </border>
    <border>
      <left/>
      <right/>
      <top/>
      <bottom style="medium">
        <color rgb="FF838383"/>
      </bottom>
      <diagonal/>
    </border>
    <border>
      <left/>
      <right/>
      <top/>
      <bottom style="double">
        <color rgb="FF7ADBD7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11" fillId="0" borderId="0"/>
  </cellStyleXfs>
  <cellXfs count="70">
    <xf numFmtId="0" fontId="0" fillId="0" borderId="0" xfId="0"/>
    <xf numFmtId="0" fontId="0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6" fillId="0" borderId="0" xfId="0" applyNumberFormat="1" applyFont="1" applyAlignme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9" fillId="0" borderId="0" xfId="0" applyFont="1" applyFill="1"/>
    <xf numFmtId="0" fontId="10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4" fillId="0" borderId="0" xfId="0" applyNumberFormat="1" applyFont="1"/>
    <xf numFmtId="0" fontId="0" fillId="0" borderId="0" xfId="0" applyFill="1"/>
    <xf numFmtId="0" fontId="9" fillId="0" borderId="0" xfId="0" applyFont="1"/>
    <xf numFmtId="0" fontId="1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0" borderId="0" xfId="0" applyAlignment="1"/>
    <xf numFmtId="0" fontId="7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0" borderId="0" xfId="0" applyAlignment="1">
      <alignment horizontal="center"/>
    </xf>
    <xf numFmtId="0" fontId="14" fillId="0" borderId="0" xfId="0" applyFont="1"/>
    <xf numFmtId="0" fontId="0" fillId="3" borderId="0" xfId="0" applyFill="1"/>
    <xf numFmtId="0" fontId="13" fillId="3" borderId="0" xfId="0" applyFont="1" applyFill="1"/>
    <xf numFmtId="0" fontId="15" fillId="0" borderId="10" xfId="1" applyFont="1" applyBorder="1" applyAlignment="1">
      <alignment vertical="center"/>
    </xf>
    <xf numFmtId="0" fontId="16" fillId="0" borderId="10" xfId="1" applyFont="1" applyBorder="1" applyAlignment="1">
      <alignment vertical="center"/>
    </xf>
    <xf numFmtId="0" fontId="17" fillId="0" borderId="0" xfId="0" applyFont="1"/>
    <xf numFmtId="0" fontId="18" fillId="0" borderId="0" xfId="0" applyFont="1"/>
    <xf numFmtId="0" fontId="4" fillId="0" borderId="0" xfId="0" applyNumberFormat="1" applyFont="1" applyAlignment="1">
      <alignment horizontal="center"/>
    </xf>
    <xf numFmtId="0" fontId="20" fillId="0" borderId="0" xfId="0" applyFont="1"/>
    <xf numFmtId="2" fontId="20" fillId="0" borderId="0" xfId="0" applyNumberFormat="1" applyFont="1" applyAlignment="1">
      <alignment horizontal="center"/>
    </xf>
    <xf numFmtId="0" fontId="20" fillId="0" borderId="0" xfId="0" applyNumberFormat="1" applyFont="1" applyAlignment="1">
      <alignment horizontal="center"/>
    </xf>
    <xf numFmtId="0" fontId="19" fillId="4" borderId="0" xfId="0" applyFont="1" applyFill="1" applyAlignment="1">
      <alignment horizontal="center" vertical="center"/>
    </xf>
    <xf numFmtId="0" fontId="21" fillId="0" borderId="0" xfId="0" applyFont="1" applyAlignment="1"/>
    <xf numFmtId="0" fontId="26" fillId="0" borderId="0" xfId="0" applyFont="1"/>
    <xf numFmtId="0" fontId="19" fillId="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0" xfId="0" applyFont="1"/>
    <xf numFmtId="0" fontId="18" fillId="4" borderId="0" xfId="0" applyFont="1" applyFill="1" applyAlignment="1">
      <alignment horizontal="center" vertical="center"/>
    </xf>
    <xf numFmtId="14" fontId="20" fillId="0" borderId="0" xfId="2" applyNumberFormat="1" applyFont="1" applyFill="1" applyAlignment="1">
      <alignment horizontal="center"/>
    </xf>
    <xf numFmtId="0" fontId="20" fillId="0" borderId="0" xfId="2" applyNumberFormat="1" applyFont="1" applyFill="1" applyAlignment="1">
      <alignment horizontal="center"/>
    </xf>
    <xf numFmtId="0" fontId="20" fillId="0" borderId="0" xfId="2" applyNumberFormat="1" applyFont="1" applyFill="1" applyBorder="1" applyAlignment="1">
      <alignment horizontal="center"/>
    </xf>
    <xf numFmtId="0" fontId="20" fillId="4" borderId="0" xfId="0" applyNumberFormat="1" applyFont="1" applyFill="1"/>
    <xf numFmtId="0" fontId="20" fillId="4" borderId="0" xfId="0" applyFont="1" applyFill="1"/>
    <xf numFmtId="2" fontId="20" fillId="4" borderId="0" xfId="0" applyNumberFormat="1" applyFont="1" applyFill="1" applyAlignment="1">
      <alignment horizontal="center"/>
    </xf>
    <xf numFmtId="0" fontId="30" fillId="0" borderId="0" xfId="0" applyFont="1"/>
    <xf numFmtId="2" fontId="30" fillId="0" borderId="0" xfId="0" applyNumberFormat="1" applyFont="1" applyAlignment="1">
      <alignment horizontal="center"/>
    </xf>
    <xf numFmtId="0" fontId="30" fillId="0" borderId="0" xfId="0" applyNumberFormat="1" applyFont="1" applyAlignment="1">
      <alignment horizontal="center"/>
    </xf>
    <xf numFmtId="0" fontId="18" fillId="4" borderId="0" xfId="0" applyFont="1" applyFill="1" applyAlignment="1">
      <alignment horizontal="center" vertical="center" wrapText="1"/>
    </xf>
    <xf numFmtId="0" fontId="31" fillId="4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/>
    </xf>
    <xf numFmtId="0" fontId="28" fillId="0" borderId="4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20" fillId="0" borderId="2" xfId="0" applyFont="1" applyFill="1" applyBorder="1" applyAlignment="1">
      <alignment horizontal="center"/>
    </xf>
    <xf numFmtId="0" fontId="19" fillId="0" borderId="3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4" borderId="0" xfId="0" applyFont="1" applyFill="1" applyAlignment="1">
      <alignment horizontal="left"/>
    </xf>
    <xf numFmtId="0" fontId="19" fillId="4" borderId="0" xfId="0" applyFont="1" applyFill="1" applyAlignment="1">
      <alignment horizontal="center" vertical="center"/>
    </xf>
    <xf numFmtId="0" fontId="8" fillId="0" borderId="7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</cellXfs>
  <cellStyles count="3">
    <cellStyle name="Encabezado 1" xfId="1" builtinId="16"/>
    <cellStyle name="Normal" xfId="0" builtinId="0"/>
    <cellStyle name="Normal 3" xfId="2" xr:uid="{00000000-0005-0000-0000-000002000000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F4F4F"/>
      <color rgb="FFFF6060"/>
      <color rgb="FF000000"/>
      <color rgb="FF7ADBD6"/>
      <color rgb="FFF4F8F9"/>
      <color rgb="FFF2F2F2"/>
      <color rgb="FF828282"/>
      <color rgb="FF838383"/>
      <color rgb="FF0187CE"/>
      <color rgb="FF013C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304800</xdr:colOff>
      <xdr:row>0</xdr:row>
      <xdr:rowOff>142875</xdr:rowOff>
    </xdr:from>
    <xdr:to>
      <xdr:col>7</xdr:col>
      <xdr:colOff>573587</xdr:colOff>
      <xdr:row>5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28725" y="142875"/>
          <a:ext cx="4326437" cy="990600"/>
        </a:xfrm>
        <a:prstGeom prst="rect">
          <a:avLst/>
        </a:prstGeom>
      </xdr:spPr>
    </xdr:pic>
    <xdr:clientData/>
  </xdr:twoCellAnchor>
  <xdr:twoCellAnchor>
    <xdr:from>
      <xdr:col>2</xdr:col>
      <xdr:colOff>809623</xdr:colOff>
      <xdr:row>14</xdr:row>
      <xdr:rowOff>171450</xdr:rowOff>
    </xdr:from>
    <xdr:to>
      <xdr:col>6</xdr:col>
      <xdr:colOff>628650</xdr:colOff>
      <xdr:row>16</xdr:row>
      <xdr:rowOff>47625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733548" y="3152775"/>
          <a:ext cx="3181352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=CONTAR(VALOR1, [VALOR2], …)</a:t>
          </a:r>
        </a:p>
      </xdr:txBody>
    </xdr:sp>
    <xdr:clientData/>
  </xdr:twoCellAnchor>
  <xdr:twoCellAnchor editAs="oneCell">
    <xdr:from>
      <xdr:col>13</xdr:col>
      <xdr:colOff>889000</xdr:colOff>
      <xdr:row>1</xdr:row>
      <xdr:rowOff>76200</xdr:rowOff>
    </xdr:from>
    <xdr:to>
      <xdr:col>18</xdr:col>
      <xdr:colOff>635</xdr:colOff>
      <xdr:row>4</xdr:row>
      <xdr:rowOff>165100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B6AC705-9B11-7040-BBC3-2FE1AD3E6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5400" y="266700"/>
          <a:ext cx="4226560" cy="660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314325</xdr:colOff>
      <xdr:row>0</xdr:row>
      <xdr:rowOff>142875</xdr:rowOff>
    </xdr:from>
    <xdr:to>
      <xdr:col>6</xdr:col>
      <xdr:colOff>193398</xdr:colOff>
      <xdr:row>5</xdr:row>
      <xdr:rowOff>180975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38250" y="142875"/>
          <a:ext cx="4326437" cy="990600"/>
        </a:xfrm>
        <a:prstGeom prst="rect">
          <a:avLst/>
        </a:prstGeom>
      </xdr:spPr>
    </xdr:pic>
    <xdr:clientData/>
  </xdr:twoCellAnchor>
  <xdr:twoCellAnchor>
    <xdr:from>
      <xdr:col>2</xdr:col>
      <xdr:colOff>830404</xdr:colOff>
      <xdr:row>14</xdr:row>
      <xdr:rowOff>161925</xdr:rowOff>
    </xdr:from>
    <xdr:to>
      <xdr:col>6</xdr:col>
      <xdr:colOff>133349</xdr:colOff>
      <xdr:row>16</xdr:row>
      <xdr:rowOff>38100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754329" y="3143250"/>
          <a:ext cx="343679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=CONTARA(VALOR1, [VALOR2], …)</a:t>
          </a:r>
        </a:p>
      </xdr:txBody>
    </xdr:sp>
    <xdr:clientData/>
  </xdr:twoCellAnchor>
  <xdr:twoCellAnchor editAs="oneCell">
    <xdr:from>
      <xdr:col>11</xdr:col>
      <xdr:colOff>177800</xdr:colOff>
      <xdr:row>1</xdr:row>
      <xdr:rowOff>76200</xdr:rowOff>
    </xdr:from>
    <xdr:to>
      <xdr:col>15</xdr:col>
      <xdr:colOff>226060</xdr:colOff>
      <xdr:row>4</xdr:row>
      <xdr:rowOff>165100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6A009E7-87C4-554E-867C-274404D0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6900" y="266700"/>
          <a:ext cx="4226560" cy="660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800097</xdr:colOff>
      <xdr:row>13</xdr:row>
      <xdr:rowOff>171450</xdr:rowOff>
    </xdr:from>
    <xdr:to>
      <xdr:col>5</xdr:col>
      <xdr:colOff>219075</xdr:colOff>
      <xdr:row>15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724022" y="2933700"/>
          <a:ext cx="2714628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=CONTAR.SI(RANGO, CRITERIO)</a:t>
          </a:r>
        </a:p>
      </xdr:txBody>
    </xdr:sp>
    <xdr:clientData/>
  </xdr:twoCellAnchor>
  <xdr:twoCellAnchor editAs="absolute">
    <xdr:from>
      <xdr:col>2</xdr:col>
      <xdr:colOff>390525</xdr:colOff>
      <xdr:row>0</xdr:row>
      <xdr:rowOff>142875</xdr:rowOff>
    </xdr:from>
    <xdr:to>
      <xdr:col>5</xdr:col>
      <xdr:colOff>421187</xdr:colOff>
      <xdr:row>5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314450" y="142875"/>
          <a:ext cx="4326437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647700</xdr:colOff>
      <xdr:row>2</xdr:row>
      <xdr:rowOff>63500</xdr:rowOff>
    </xdr:from>
    <xdr:to>
      <xdr:col>13</xdr:col>
      <xdr:colOff>492760</xdr:colOff>
      <xdr:row>5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B72AF4F-8634-8340-AA3F-7F392D97F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444500"/>
          <a:ext cx="4226560" cy="660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761997</xdr:colOff>
      <xdr:row>13</xdr:row>
      <xdr:rowOff>171450</xdr:rowOff>
    </xdr:from>
    <xdr:to>
      <xdr:col>7</xdr:col>
      <xdr:colOff>9525</xdr:colOff>
      <xdr:row>15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571622" y="2933700"/>
          <a:ext cx="4381503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=CONTAR.SI.CONJUNTO(RANGO, CRITERIO)</a:t>
          </a:r>
        </a:p>
      </xdr:txBody>
    </xdr:sp>
    <xdr:clientData/>
  </xdr:twoCellAnchor>
  <xdr:twoCellAnchor editAs="absolute">
    <xdr:from>
      <xdr:col>2</xdr:col>
      <xdr:colOff>333375</xdr:colOff>
      <xdr:row>0</xdr:row>
      <xdr:rowOff>152400</xdr:rowOff>
    </xdr:from>
    <xdr:to>
      <xdr:col>6</xdr:col>
      <xdr:colOff>183062</xdr:colOff>
      <xdr:row>6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57300" y="152400"/>
          <a:ext cx="4326437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596900</xdr:colOff>
      <xdr:row>2</xdr:row>
      <xdr:rowOff>0</xdr:rowOff>
    </xdr:from>
    <xdr:to>
      <xdr:col>14</xdr:col>
      <xdr:colOff>353060</xdr:colOff>
      <xdr:row>5</xdr:row>
      <xdr:rowOff>88900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C375A55-58FA-574F-B479-317D9A6BF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2400" y="381000"/>
          <a:ext cx="4226560" cy="660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790572</xdr:colOff>
      <xdr:row>13</xdr:row>
      <xdr:rowOff>171450</xdr:rowOff>
    </xdr:from>
    <xdr:to>
      <xdr:col>5</xdr:col>
      <xdr:colOff>628649</xdr:colOff>
      <xdr:row>15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714497" y="2933700"/>
          <a:ext cx="29432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2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=CONTAR.BLANCO(RANGO)</a:t>
          </a:r>
        </a:p>
      </xdr:txBody>
    </xdr:sp>
    <xdr:clientData/>
  </xdr:twoCellAnchor>
  <xdr:twoCellAnchor editAs="absolute">
    <xdr:from>
      <xdr:col>2</xdr:col>
      <xdr:colOff>428625</xdr:colOff>
      <xdr:row>0</xdr:row>
      <xdr:rowOff>133350</xdr:rowOff>
    </xdr:from>
    <xdr:to>
      <xdr:col>6</xdr:col>
      <xdr:colOff>516437</xdr:colOff>
      <xdr:row>5</xdr:row>
      <xdr:rowOff>171450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352550" y="133350"/>
          <a:ext cx="4326437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711200</xdr:colOff>
      <xdr:row>2</xdr:row>
      <xdr:rowOff>0</xdr:rowOff>
    </xdr:from>
    <xdr:to>
      <xdr:col>13</xdr:col>
      <xdr:colOff>657860</xdr:colOff>
      <xdr:row>5</xdr:row>
      <xdr:rowOff>88900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1A266B7-5241-744B-8B79-DD4D3832F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6200" y="381000"/>
          <a:ext cx="4226560" cy="660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809623</xdr:colOff>
      <xdr:row>13</xdr:row>
      <xdr:rowOff>142875</xdr:rowOff>
    </xdr:from>
    <xdr:to>
      <xdr:col>4</xdr:col>
      <xdr:colOff>352425</xdr:colOff>
      <xdr:row>15</xdr:row>
      <xdr:rowOff>19050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1733548" y="2905125"/>
          <a:ext cx="26765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latin typeface="Century Gothic" panose="020B0502020202020204" pitchFamily="34" charset="0"/>
            </a:rPr>
            <a:t>=ABS(argumento1)</a:t>
          </a:r>
        </a:p>
      </xdr:txBody>
    </xdr:sp>
    <xdr:clientData/>
  </xdr:twoCellAnchor>
  <xdr:twoCellAnchor>
    <xdr:from>
      <xdr:col>2</xdr:col>
      <xdr:colOff>809623</xdr:colOff>
      <xdr:row>13</xdr:row>
      <xdr:rowOff>142875</xdr:rowOff>
    </xdr:from>
    <xdr:to>
      <xdr:col>4</xdr:col>
      <xdr:colOff>352425</xdr:colOff>
      <xdr:row>15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733548" y="2905125"/>
          <a:ext cx="26765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latin typeface="Century Gothic" panose="020B0502020202020204" pitchFamily="34" charset="0"/>
            </a:rPr>
            <a:t>=ABS(argumento1)</a:t>
          </a:r>
        </a:p>
      </xdr:txBody>
    </xdr:sp>
    <xdr:clientData/>
  </xdr:twoCellAnchor>
  <xdr:twoCellAnchor>
    <xdr:from>
      <xdr:col>2</xdr:col>
      <xdr:colOff>809623</xdr:colOff>
      <xdr:row>13</xdr:row>
      <xdr:rowOff>142875</xdr:rowOff>
    </xdr:from>
    <xdr:to>
      <xdr:col>4</xdr:col>
      <xdr:colOff>352425</xdr:colOff>
      <xdr:row>15</xdr:row>
      <xdr:rowOff>19050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733548" y="2905125"/>
          <a:ext cx="26765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latin typeface="Century Gothic" panose="020B0502020202020204" pitchFamily="34" charset="0"/>
            </a:rPr>
            <a:t>=ABS(argumento1)</a:t>
          </a:r>
        </a:p>
      </xdr:txBody>
    </xdr:sp>
    <xdr:clientData/>
  </xdr:twoCellAnchor>
  <xdr:twoCellAnchor>
    <xdr:from>
      <xdr:col>2</xdr:col>
      <xdr:colOff>761996</xdr:colOff>
      <xdr:row>13</xdr:row>
      <xdr:rowOff>171450</xdr:rowOff>
    </xdr:from>
    <xdr:to>
      <xdr:col>4</xdr:col>
      <xdr:colOff>600074</xdr:colOff>
      <xdr:row>15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571621" y="3028950"/>
          <a:ext cx="2609853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=K.ESIMO.MAYOR(MATRIZ,K)</a:t>
          </a:r>
        </a:p>
      </xdr:txBody>
    </xdr:sp>
    <xdr:clientData/>
  </xdr:twoCellAnchor>
  <xdr:twoCellAnchor editAs="absolute">
    <xdr:from>
      <xdr:col>2</xdr:col>
      <xdr:colOff>342900</xdr:colOff>
      <xdr:row>0</xdr:row>
      <xdr:rowOff>104775</xdr:rowOff>
    </xdr:from>
    <xdr:to>
      <xdr:col>6</xdr:col>
      <xdr:colOff>63470</xdr:colOff>
      <xdr:row>5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66825" y="104775"/>
          <a:ext cx="4330670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2</xdr:row>
      <xdr:rowOff>12700</xdr:rowOff>
    </xdr:from>
    <xdr:to>
      <xdr:col>16</xdr:col>
      <xdr:colOff>48260</xdr:colOff>
      <xdr:row>5</xdr:row>
      <xdr:rowOff>101600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B5CA8C9-BA31-6F4C-A9D1-D771E0EA8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37600" y="393700"/>
          <a:ext cx="4226560" cy="660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809623</xdr:colOff>
      <xdr:row>13</xdr:row>
      <xdr:rowOff>142875</xdr:rowOff>
    </xdr:from>
    <xdr:to>
      <xdr:col>4</xdr:col>
      <xdr:colOff>352425</xdr:colOff>
      <xdr:row>15</xdr:row>
      <xdr:rowOff>19050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733548" y="3000375"/>
          <a:ext cx="26765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latin typeface="Century Gothic" panose="020B0502020202020204" pitchFamily="34" charset="0"/>
            </a:rPr>
            <a:t>=ABS(argumento1)</a:t>
          </a:r>
        </a:p>
      </xdr:txBody>
    </xdr:sp>
    <xdr:clientData/>
  </xdr:twoCellAnchor>
  <xdr:twoCellAnchor>
    <xdr:from>
      <xdr:col>2</xdr:col>
      <xdr:colOff>809623</xdr:colOff>
      <xdr:row>13</xdr:row>
      <xdr:rowOff>142875</xdr:rowOff>
    </xdr:from>
    <xdr:to>
      <xdr:col>4</xdr:col>
      <xdr:colOff>352425</xdr:colOff>
      <xdr:row>15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1733548" y="3000375"/>
          <a:ext cx="26765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latin typeface="Century Gothic" panose="020B0502020202020204" pitchFamily="34" charset="0"/>
            </a:rPr>
            <a:t>=ABS(argumento1)</a:t>
          </a:r>
        </a:p>
      </xdr:txBody>
    </xdr:sp>
    <xdr:clientData/>
  </xdr:twoCellAnchor>
  <xdr:twoCellAnchor>
    <xdr:from>
      <xdr:col>2</xdr:col>
      <xdr:colOff>809623</xdr:colOff>
      <xdr:row>13</xdr:row>
      <xdr:rowOff>142875</xdr:rowOff>
    </xdr:from>
    <xdr:to>
      <xdr:col>4</xdr:col>
      <xdr:colOff>352425</xdr:colOff>
      <xdr:row>15</xdr:row>
      <xdr:rowOff>19050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733548" y="3000375"/>
          <a:ext cx="2676527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latin typeface="Century Gothic" panose="020B0502020202020204" pitchFamily="34" charset="0"/>
            </a:rPr>
            <a:t>=ABS(argumento1)</a:t>
          </a:r>
        </a:p>
      </xdr:txBody>
    </xdr:sp>
    <xdr:clientData/>
  </xdr:twoCellAnchor>
  <xdr:twoCellAnchor>
    <xdr:from>
      <xdr:col>2</xdr:col>
      <xdr:colOff>761997</xdr:colOff>
      <xdr:row>13</xdr:row>
      <xdr:rowOff>171450</xdr:rowOff>
    </xdr:from>
    <xdr:to>
      <xdr:col>5</xdr:col>
      <xdr:colOff>323850</xdr:colOff>
      <xdr:row>15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1571622" y="3028950"/>
          <a:ext cx="3019428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=K.ESIMO.MENOR(MATRIZ,K)</a:t>
          </a:r>
        </a:p>
      </xdr:txBody>
    </xdr:sp>
    <xdr:clientData/>
  </xdr:twoCellAnchor>
  <xdr:twoCellAnchor editAs="absolute">
    <xdr:from>
      <xdr:col>2</xdr:col>
      <xdr:colOff>352425</xdr:colOff>
      <xdr:row>0</xdr:row>
      <xdr:rowOff>104775</xdr:rowOff>
    </xdr:from>
    <xdr:to>
      <xdr:col>6</xdr:col>
      <xdr:colOff>72995</xdr:colOff>
      <xdr:row>5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276350" y="104775"/>
          <a:ext cx="4330670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330200</xdr:colOff>
      <xdr:row>1</xdr:row>
      <xdr:rowOff>114300</xdr:rowOff>
    </xdr:from>
    <xdr:to>
      <xdr:col>16</xdr:col>
      <xdr:colOff>73660</xdr:colOff>
      <xdr:row>5</xdr:row>
      <xdr:rowOff>12700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B24CBA7-6105-4F47-91E0-C16753568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304800"/>
          <a:ext cx="4226560" cy="660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761996</xdr:colOff>
      <xdr:row>13</xdr:row>
      <xdr:rowOff>171450</xdr:rowOff>
    </xdr:from>
    <xdr:to>
      <xdr:col>8</xdr:col>
      <xdr:colOff>85725</xdr:colOff>
      <xdr:row>15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571621" y="2933700"/>
          <a:ext cx="4333879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PRONOSTICO(X,CONOCIDO_Y,CONOCIDO_X)</a:t>
          </a:r>
        </a:p>
      </xdr:txBody>
    </xdr:sp>
    <xdr:clientData/>
  </xdr:twoCellAnchor>
  <xdr:twoCellAnchor editAs="absolute">
    <xdr:from>
      <xdr:col>2</xdr:col>
      <xdr:colOff>409575</xdr:colOff>
      <xdr:row>0</xdr:row>
      <xdr:rowOff>133350</xdr:rowOff>
    </xdr:from>
    <xdr:to>
      <xdr:col>7</xdr:col>
      <xdr:colOff>59237</xdr:colOff>
      <xdr:row>5</xdr:row>
      <xdr:rowOff>171450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333500" y="133350"/>
          <a:ext cx="4326437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</xdr:row>
      <xdr:rowOff>152400</xdr:rowOff>
    </xdr:from>
    <xdr:to>
      <xdr:col>13</xdr:col>
      <xdr:colOff>3810</xdr:colOff>
      <xdr:row>5</xdr:row>
      <xdr:rowOff>50800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5961529-234A-5B44-8AC4-CCCAB957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0" y="342900"/>
          <a:ext cx="4226560" cy="660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800096</xdr:colOff>
      <xdr:row>14</xdr:row>
      <xdr:rowOff>171450</xdr:rowOff>
    </xdr:from>
    <xdr:to>
      <xdr:col>7</xdr:col>
      <xdr:colOff>809625</xdr:colOff>
      <xdr:row>16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724021" y="3152775"/>
          <a:ext cx="4686304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4F4F4F"/>
              </a:solidFill>
              <a:latin typeface="Inter" panose="020B0502030000000004" pitchFamily="34" charset="0"/>
              <a:ea typeface="Inter" panose="020B0502030000000004" pitchFamily="34" charset="0"/>
            </a:rPr>
            <a:t>=JERARQUIA.EQV(NÚMERO, REFERENCIA, ORDEN)</a:t>
          </a:r>
        </a:p>
      </xdr:txBody>
    </xdr:sp>
    <xdr:clientData/>
  </xdr:twoCellAnchor>
  <xdr:twoCellAnchor editAs="absolute">
    <xdr:from>
      <xdr:col>2</xdr:col>
      <xdr:colOff>457200</xdr:colOff>
      <xdr:row>0</xdr:row>
      <xdr:rowOff>142875</xdr:rowOff>
    </xdr:from>
    <xdr:to>
      <xdr:col>6</xdr:col>
      <xdr:colOff>805362</xdr:colOff>
      <xdr:row>5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48" b="13536"/>
        <a:stretch/>
      </xdr:blipFill>
      <xdr:spPr>
        <a:xfrm>
          <a:off x="1381125" y="142875"/>
          <a:ext cx="4326437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1282700</xdr:colOff>
      <xdr:row>2</xdr:row>
      <xdr:rowOff>38100</xdr:rowOff>
    </xdr:from>
    <xdr:to>
      <xdr:col>11</xdr:col>
      <xdr:colOff>302260</xdr:colOff>
      <xdr:row>5</xdr:row>
      <xdr:rowOff>127000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2245B4-FBC9-5747-9796-7E3CCCAF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24900" y="419100"/>
          <a:ext cx="4226560" cy="66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4:S35"/>
  <sheetViews>
    <sheetView showGridLines="0" zoomScale="55" zoomScaleNormal="55" workbookViewId="0">
      <selection activeCell="M29" sqref="M29"/>
    </sheetView>
  </sheetViews>
  <sheetFormatPr baseColWidth="10" defaultRowHeight="15"/>
  <cols>
    <col min="1" max="1" width="8.7109375" style="23" customWidth="1"/>
    <col min="2" max="2" width="3.42578125" customWidth="1"/>
    <col min="3" max="3" width="11" customWidth="1"/>
    <col min="4" max="4" width="14.85546875" bestFit="1" customWidth="1"/>
    <col min="5" max="7" width="9.140625" customWidth="1"/>
    <col min="8" max="9" width="16.85546875" bestFit="1" customWidth="1"/>
    <col min="10" max="10" width="10.42578125" customWidth="1"/>
    <col min="11" max="11" width="5.42578125" customWidth="1"/>
    <col min="12" max="12" width="11" customWidth="1"/>
    <col min="13" max="13" width="12.42578125" bestFit="1" customWidth="1"/>
    <col min="14" max="16" width="13.28515625" bestFit="1" customWidth="1"/>
    <col min="17" max="17" width="16.42578125" bestFit="1" customWidth="1"/>
  </cols>
  <sheetData>
    <row r="4" spans="3:19">
      <c r="I4" s="22"/>
    </row>
    <row r="9" spans="3:19" ht="36.75" customHeight="1" thickBot="1">
      <c r="C9" s="25" t="s">
        <v>58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spans="3:19" ht="15.75" thickTop="1">
      <c r="C10" s="1"/>
    </row>
    <row r="11" spans="3:19" ht="20.25">
      <c r="H11" s="27" t="s">
        <v>59</v>
      </c>
    </row>
    <row r="12" spans="3:19" ht="7.5" customHeight="1"/>
    <row r="13" spans="3:19" ht="17.25">
      <c r="C13" s="28" t="s">
        <v>0</v>
      </c>
      <c r="D13" s="34" t="s">
        <v>192</v>
      </c>
      <c r="E13" s="34"/>
      <c r="F13" s="34"/>
      <c r="G13" s="34"/>
      <c r="H13" s="34"/>
      <c r="I13" s="34"/>
      <c r="J13" s="34"/>
    </row>
    <row r="14" spans="3:19" ht="15.75">
      <c r="C14" s="28"/>
      <c r="D14" s="34" t="s">
        <v>98</v>
      </c>
    </row>
    <row r="15" spans="3:19" ht="15.75">
      <c r="C15" s="28"/>
    </row>
    <row r="16" spans="3:19" ht="17.25">
      <c r="C16" s="28" t="s">
        <v>1</v>
      </c>
      <c r="D16" s="6"/>
    </row>
    <row r="17" spans="3:19" ht="15.75">
      <c r="C17" s="28"/>
      <c r="Q17" s="2"/>
    </row>
    <row r="18" spans="3:19" ht="15.75">
      <c r="C18" s="28" t="s">
        <v>2</v>
      </c>
      <c r="H18" s="4"/>
      <c r="L18" s="28" t="s">
        <v>3</v>
      </c>
      <c r="Q18" s="4"/>
    </row>
    <row r="20" spans="3:19" ht="16.5">
      <c r="D20" s="33" t="s">
        <v>60</v>
      </c>
      <c r="E20" s="33" t="s">
        <v>63</v>
      </c>
      <c r="F20" s="33" t="s">
        <v>61</v>
      </c>
      <c r="G20" s="33" t="s">
        <v>62</v>
      </c>
      <c r="H20" s="30"/>
      <c r="I20" s="30"/>
      <c r="J20" s="30"/>
      <c r="K20" s="30"/>
      <c r="L20" s="30"/>
      <c r="M20" s="33" t="s">
        <v>77</v>
      </c>
      <c r="N20" s="33" t="s">
        <v>78</v>
      </c>
      <c r="O20" s="33" t="s">
        <v>79</v>
      </c>
      <c r="P20" s="33" t="s">
        <v>80</v>
      </c>
      <c r="Q20" s="33" t="s">
        <v>81</v>
      </c>
      <c r="R20" s="3"/>
    </row>
    <row r="21" spans="3:19" ht="16.5">
      <c r="D21" s="30" t="s">
        <v>69</v>
      </c>
      <c r="E21" s="31">
        <v>1.8</v>
      </c>
      <c r="F21" s="32">
        <v>18</v>
      </c>
      <c r="G21" s="32">
        <v>44</v>
      </c>
      <c r="H21" s="30"/>
      <c r="I21" s="30"/>
      <c r="J21" s="30"/>
      <c r="K21" s="30"/>
      <c r="L21" s="30"/>
      <c r="M21" s="30" t="s">
        <v>82</v>
      </c>
      <c r="N21" s="32">
        <v>16</v>
      </c>
      <c r="O21" s="32">
        <v>12</v>
      </c>
      <c r="P21" s="32">
        <v>20</v>
      </c>
      <c r="Q21" s="32" t="s">
        <v>72</v>
      </c>
      <c r="R21" s="3"/>
    </row>
    <row r="22" spans="3:19" ht="16.5">
      <c r="D22" s="30" t="s">
        <v>67</v>
      </c>
      <c r="E22" s="31">
        <v>1.75</v>
      </c>
      <c r="F22" s="32">
        <v>61</v>
      </c>
      <c r="G22" s="32" t="s">
        <v>72</v>
      </c>
      <c r="H22" s="30"/>
      <c r="I22" s="30"/>
      <c r="J22" s="30"/>
      <c r="K22" s="30"/>
      <c r="L22" s="30"/>
      <c r="M22" s="30" t="s">
        <v>83</v>
      </c>
      <c r="N22" s="32">
        <v>4</v>
      </c>
      <c r="O22" s="32">
        <v>5</v>
      </c>
      <c r="P22" s="32">
        <v>13</v>
      </c>
      <c r="Q22" s="32">
        <v>16</v>
      </c>
      <c r="R22" s="3"/>
    </row>
    <row r="23" spans="3:19" ht="15.75" customHeight="1">
      <c r="D23" s="30" t="s">
        <v>65</v>
      </c>
      <c r="E23" s="31" t="s">
        <v>72</v>
      </c>
      <c r="F23" s="32">
        <v>31</v>
      </c>
      <c r="G23" s="32">
        <v>60</v>
      </c>
      <c r="H23" s="30"/>
      <c r="I23" s="30"/>
      <c r="J23" s="30"/>
      <c r="K23" s="30"/>
      <c r="L23" s="30"/>
      <c r="M23" s="30" t="s">
        <v>84</v>
      </c>
      <c r="N23" s="32">
        <v>17</v>
      </c>
      <c r="O23" s="32" t="s">
        <v>72</v>
      </c>
      <c r="P23" s="32">
        <v>14</v>
      </c>
      <c r="Q23" s="32">
        <v>20</v>
      </c>
      <c r="R23" s="3"/>
    </row>
    <row r="24" spans="3:19" ht="16.5">
      <c r="D24" s="30" t="s">
        <v>64</v>
      </c>
      <c r="E24" s="31" t="s">
        <v>72</v>
      </c>
      <c r="F24" s="32">
        <v>42</v>
      </c>
      <c r="G24" s="32" t="s">
        <v>72</v>
      </c>
      <c r="H24" s="30"/>
      <c r="I24" s="30"/>
      <c r="J24" s="30"/>
      <c r="K24" s="30"/>
      <c r="L24" s="30"/>
      <c r="M24" s="30" t="s">
        <v>85</v>
      </c>
      <c r="N24" s="32" t="s">
        <v>72</v>
      </c>
      <c r="O24" s="32">
        <v>9</v>
      </c>
      <c r="P24" s="32">
        <v>2</v>
      </c>
      <c r="Q24" s="32" t="s">
        <v>72</v>
      </c>
      <c r="R24" s="3"/>
    </row>
    <row r="25" spans="3:19" ht="16.5">
      <c r="D25" s="30" t="s">
        <v>68</v>
      </c>
      <c r="E25" s="31">
        <v>1.6</v>
      </c>
      <c r="F25" s="32">
        <v>70</v>
      </c>
      <c r="G25" s="32" t="s">
        <v>72</v>
      </c>
      <c r="H25" s="30"/>
      <c r="I25" s="30"/>
      <c r="J25" s="30"/>
      <c r="K25" s="30"/>
      <c r="L25" s="30"/>
      <c r="M25" s="30" t="s">
        <v>86</v>
      </c>
      <c r="N25" s="32">
        <v>20</v>
      </c>
      <c r="O25" s="32">
        <v>6</v>
      </c>
      <c r="P25" s="32">
        <v>11</v>
      </c>
      <c r="Q25" s="32">
        <v>6</v>
      </c>
      <c r="R25" s="3"/>
    </row>
    <row r="26" spans="3:19" ht="16.5">
      <c r="D26" s="30" t="s">
        <v>66</v>
      </c>
      <c r="E26" s="31">
        <v>1.9</v>
      </c>
      <c r="F26" s="32">
        <v>90</v>
      </c>
      <c r="G26" s="32">
        <v>111</v>
      </c>
      <c r="H26" s="30"/>
      <c r="I26" s="30"/>
      <c r="J26" s="30"/>
      <c r="K26" s="30"/>
      <c r="L26" s="30"/>
      <c r="M26" s="30" t="s">
        <v>87</v>
      </c>
      <c r="N26" s="32">
        <v>7</v>
      </c>
      <c r="O26" s="32">
        <v>12</v>
      </c>
      <c r="P26" s="32">
        <v>13</v>
      </c>
      <c r="Q26" s="32">
        <v>20</v>
      </c>
      <c r="R26" s="3"/>
    </row>
    <row r="27" spans="3:19">
      <c r="D27" s="30" t="s">
        <v>70</v>
      </c>
      <c r="E27" s="31" t="s">
        <v>72</v>
      </c>
      <c r="F27" s="32">
        <v>25</v>
      </c>
      <c r="G27" s="32">
        <v>81</v>
      </c>
      <c r="H27" s="30"/>
      <c r="I27" s="30"/>
      <c r="J27" s="30"/>
      <c r="K27" s="30"/>
      <c r="L27" s="30"/>
      <c r="M27" s="30" t="s">
        <v>88</v>
      </c>
      <c r="N27" s="32" t="s">
        <v>72</v>
      </c>
      <c r="O27" s="32" t="s">
        <v>72</v>
      </c>
      <c r="P27" s="32">
        <v>10</v>
      </c>
      <c r="Q27" s="32">
        <v>8</v>
      </c>
    </row>
    <row r="28" spans="3:19">
      <c r="D28" s="30" t="s">
        <v>71</v>
      </c>
      <c r="E28" s="31">
        <v>1.66</v>
      </c>
      <c r="F28" s="32">
        <v>24</v>
      </c>
      <c r="G28" s="32" t="s">
        <v>72</v>
      </c>
      <c r="H28" s="30"/>
      <c r="I28" s="30"/>
      <c r="J28" s="30"/>
      <c r="K28" s="30"/>
      <c r="L28" s="30"/>
      <c r="M28" s="30" t="s">
        <v>89</v>
      </c>
      <c r="N28" s="32">
        <v>6</v>
      </c>
      <c r="O28" s="32" t="s">
        <v>72</v>
      </c>
      <c r="P28" s="32">
        <v>4</v>
      </c>
      <c r="Q28" s="32">
        <v>12</v>
      </c>
    </row>
    <row r="29" spans="3:19">
      <c r="D29" s="30" t="s">
        <v>73</v>
      </c>
      <c r="E29" s="31">
        <v>1.53</v>
      </c>
      <c r="F29" s="32">
        <v>80</v>
      </c>
      <c r="G29" s="32">
        <v>98</v>
      </c>
      <c r="H29" s="30"/>
      <c r="I29" s="30"/>
      <c r="J29" s="30"/>
      <c r="K29" s="30"/>
      <c r="L29" s="30"/>
      <c r="M29" s="30" t="s">
        <v>90</v>
      </c>
      <c r="N29" s="32">
        <v>12</v>
      </c>
      <c r="O29" s="32">
        <v>14</v>
      </c>
      <c r="P29" s="32">
        <v>3</v>
      </c>
      <c r="Q29" s="32" t="s">
        <v>72</v>
      </c>
    </row>
    <row r="30" spans="3:19">
      <c r="D30" s="30" t="s">
        <v>74</v>
      </c>
      <c r="E30" s="31" t="s">
        <v>72</v>
      </c>
      <c r="F30" s="32">
        <v>20</v>
      </c>
      <c r="G30" s="32">
        <v>72</v>
      </c>
      <c r="H30" s="30"/>
      <c r="I30" s="30"/>
      <c r="J30" s="30"/>
      <c r="K30" s="30"/>
      <c r="L30" s="30"/>
      <c r="M30" s="30" t="s">
        <v>91</v>
      </c>
      <c r="N30" s="32" t="s">
        <v>72</v>
      </c>
      <c r="O30" s="32">
        <v>16</v>
      </c>
      <c r="P30" s="32">
        <v>6</v>
      </c>
      <c r="Q30" s="32">
        <v>14</v>
      </c>
    </row>
    <row r="32" spans="3:19" ht="17.25" customHeight="1">
      <c r="D32" s="52" t="s">
        <v>96</v>
      </c>
      <c r="E32" s="52"/>
      <c r="F32" s="52"/>
      <c r="G32" s="52"/>
      <c r="H32" s="52"/>
      <c r="I32" s="52"/>
      <c r="J32" s="12">
        <f>COUNT(F20:F30)</f>
        <v>10</v>
      </c>
      <c r="M32" s="52" t="s">
        <v>95</v>
      </c>
      <c r="N32" s="52"/>
      <c r="O32" s="52"/>
      <c r="P32" s="52"/>
      <c r="Q32" s="52"/>
      <c r="R32" s="52"/>
      <c r="S32" s="15">
        <f>COUNT(Q21:Q30)</f>
        <v>7</v>
      </c>
    </row>
    <row r="33" spans="4:19" ht="15.95" customHeight="1">
      <c r="D33" s="52" t="s">
        <v>75</v>
      </c>
      <c r="E33" s="52"/>
      <c r="F33" s="52"/>
      <c r="G33" s="52"/>
      <c r="H33" s="52"/>
      <c r="I33" s="52"/>
      <c r="J33" s="12">
        <f>COUNT(E21:E30)</f>
        <v>6</v>
      </c>
      <c r="M33" s="52" t="s">
        <v>93</v>
      </c>
      <c r="N33" s="52"/>
      <c r="O33" s="52"/>
      <c r="P33" s="52"/>
      <c r="Q33" s="52"/>
      <c r="R33" s="52"/>
      <c r="S33" s="15">
        <f>COUNT(N21:N30)</f>
        <v>7</v>
      </c>
    </row>
    <row r="34" spans="4:19" ht="17.25" customHeight="1">
      <c r="D34" s="52" t="s">
        <v>76</v>
      </c>
      <c r="E34" s="52"/>
      <c r="F34" s="52"/>
      <c r="G34" s="52"/>
      <c r="H34" s="52"/>
      <c r="I34" s="52"/>
      <c r="J34" s="12">
        <f>COUNT(G21:G30)</f>
        <v>6</v>
      </c>
      <c r="M34" s="52" t="s">
        <v>94</v>
      </c>
      <c r="N34" s="52"/>
      <c r="O34" s="52"/>
      <c r="P34" s="52"/>
      <c r="Q34" s="52"/>
      <c r="R34" s="52"/>
      <c r="S34" s="15">
        <f>COUNT(O21:O30)</f>
        <v>7</v>
      </c>
    </row>
    <row r="35" spans="4:19" ht="17.25" customHeight="1">
      <c r="J35" s="14"/>
      <c r="M35" s="52" t="s">
        <v>92</v>
      </c>
      <c r="N35" s="52"/>
      <c r="O35" s="52"/>
      <c r="P35" s="52"/>
      <c r="Q35" s="52"/>
      <c r="R35" s="52"/>
      <c r="S35" s="15">
        <f>COUNTA(M21:M30)</f>
        <v>10</v>
      </c>
    </row>
  </sheetData>
  <mergeCells count="7">
    <mergeCell ref="M35:R35"/>
    <mergeCell ref="M32:R32"/>
    <mergeCell ref="D32:I32"/>
    <mergeCell ref="D33:I33"/>
    <mergeCell ref="D34:I34"/>
    <mergeCell ref="M33:R33"/>
    <mergeCell ref="M34:R34"/>
  </mergeCells>
  <conditionalFormatting sqref="D9">
    <cfRule type="duplicateValues" dxfId="53" priority="2"/>
    <cfRule type="duplicateValues" dxfId="52" priority="3"/>
    <cfRule type="duplicateValues" dxfId="51" priority="4"/>
    <cfRule type="duplicateValues" dxfId="50" priority="5"/>
    <cfRule type="duplicateValues" dxfId="49" priority="6"/>
  </conditionalFormatting>
  <conditionalFormatting sqref="D9">
    <cfRule type="duplicateValues" dxfId="48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8:R32"/>
  <sheetViews>
    <sheetView showGridLines="0" topLeftCell="H13" zoomScaleNormal="100" workbookViewId="0">
      <selection activeCell="P28" sqref="P28"/>
    </sheetView>
  </sheetViews>
  <sheetFormatPr baseColWidth="10" defaultRowHeight="15"/>
  <cols>
    <col min="1" max="1" width="8.7109375" style="23" customWidth="1"/>
    <col min="2" max="2" width="3.42578125" customWidth="1"/>
    <col min="4" max="4" width="12" customWidth="1"/>
    <col min="5" max="5" width="17.42578125" bestFit="1" customWidth="1"/>
    <col min="6" max="6" width="18.42578125" customWidth="1"/>
    <col min="7" max="7" width="14.42578125" customWidth="1"/>
    <col min="8" max="8" width="10.140625" customWidth="1"/>
    <col min="9" max="9" width="16.85546875" bestFit="1" customWidth="1"/>
    <col min="10" max="10" width="15.42578125" customWidth="1"/>
    <col min="12" max="12" width="18" bestFit="1" customWidth="1"/>
    <col min="13" max="13" width="13.42578125" bestFit="1" customWidth="1"/>
    <col min="14" max="15" width="11.7109375" bestFit="1" customWidth="1"/>
  </cols>
  <sheetData>
    <row r="8" spans="3:16">
      <c r="K8" s="8"/>
    </row>
    <row r="9" spans="3:16" ht="36.75" customHeight="1" thickBot="1">
      <c r="C9" s="25" t="s">
        <v>58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3:16" ht="15.75" thickTop="1">
      <c r="C10" s="1"/>
    </row>
    <row r="11" spans="3:16" ht="20.25">
      <c r="G11" s="27" t="s">
        <v>97</v>
      </c>
    </row>
    <row r="12" spans="3:16" ht="7.5" customHeight="1"/>
    <row r="13" spans="3:16" ht="17.25">
      <c r="C13" s="28" t="s">
        <v>0</v>
      </c>
      <c r="D13" s="34" t="s">
        <v>193</v>
      </c>
    </row>
    <row r="14" spans="3:16" ht="15.75">
      <c r="C14" s="28"/>
      <c r="D14" s="34" t="s">
        <v>99</v>
      </c>
    </row>
    <row r="15" spans="3:16" ht="15.75">
      <c r="C15" s="28"/>
    </row>
    <row r="16" spans="3:16" ht="17.25">
      <c r="C16" s="28" t="s">
        <v>1</v>
      </c>
      <c r="D16" s="6"/>
    </row>
    <row r="17" spans="3:18" ht="15.75">
      <c r="C17" s="28"/>
    </row>
    <row r="18" spans="3:18" ht="15.75">
      <c r="C18" s="28" t="s">
        <v>2</v>
      </c>
      <c r="D18" s="34" t="s">
        <v>110</v>
      </c>
      <c r="E18" s="35"/>
      <c r="F18" s="35"/>
      <c r="I18" s="18"/>
      <c r="J18" s="28" t="s">
        <v>3</v>
      </c>
      <c r="K18" s="34" t="s">
        <v>123</v>
      </c>
      <c r="L18" s="35"/>
      <c r="M18" s="35"/>
      <c r="N18" s="34"/>
      <c r="O18" s="35"/>
      <c r="P18" s="16"/>
      <c r="Q18" s="16"/>
      <c r="R18" s="16"/>
    </row>
    <row r="19" spans="3:18">
      <c r="I19" s="18"/>
    </row>
    <row r="20" spans="3:18">
      <c r="D20" s="33" t="s">
        <v>100</v>
      </c>
      <c r="E20" s="33" t="s">
        <v>104</v>
      </c>
      <c r="F20" s="33" t="s">
        <v>101</v>
      </c>
      <c r="G20" s="33" t="s">
        <v>102</v>
      </c>
      <c r="H20" s="33" t="s">
        <v>119</v>
      </c>
      <c r="K20" s="33" t="s">
        <v>100</v>
      </c>
      <c r="L20" s="33" t="s">
        <v>104</v>
      </c>
      <c r="M20" s="33" t="s">
        <v>120</v>
      </c>
      <c r="N20" s="33" t="s">
        <v>121</v>
      </c>
      <c r="O20" s="33" t="s">
        <v>122</v>
      </c>
    </row>
    <row r="21" spans="3:18">
      <c r="D21" s="30" t="s">
        <v>103</v>
      </c>
      <c r="E21" s="31" t="s">
        <v>105</v>
      </c>
      <c r="F21" s="32">
        <v>5</v>
      </c>
      <c r="G21" s="32">
        <v>2</v>
      </c>
      <c r="H21" s="32"/>
      <c r="K21" s="30" t="s">
        <v>124</v>
      </c>
      <c r="L21" s="31" t="s">
        <v>105</v>
      </c>
      <c r="M21" s="32">
        <v>70</v>
      </c>
      <c r="N21" s="32">
        <v>40</v>
      </c>
      <c r="O21" s="32">
        <v>43</v>
      </c>
    </row>
    <row r="22" spans="3:18">
      <c r="D22" s="30"/>
      <c r="E22" s="31" t="s">
        <v>106</v>
      </c>
      <c r="F22" s="32"/>
      <c r="G22" s="32">
        <v>4</v>
      </c>
      <c r="H22" s="32"/>
      <c r="K22" s="30" t="s">
        <v>125</v>
      </c>
      <c r="L22" s="31" t="s">
        <v>106</v>
      </c>
      <c r="M22" s="32">
        <v>60</v>
      </c>
      <c r="N22" s="32"/>
      <c r="O22" s="32">
        <v>50</v>
      </c>
    </row>
    <row r="23" spans="3:18">
      <c r="D23" s="30" t="s">
        <v>112</v>
      </c>
      <c r="E23" s="31" t="s">
        <v>111</v>
      </c>
      <c r="F23" s="32">
        <v>5</v>
      </c>
      <c r="G23" s="32">
        <v>2</v>
      </c>
      <c r="H23" s="32">
        <v>2</v>
      </c>
      <c r="K23" s="30"/>
      <c r="L23" s="31" t="s">
        <v>111</v>
      </c>
      <c r="M23" s="32">
        <v>5</v>
      </c>
      <c r="N23" s="32">
        <v>2</v>
      </c>
      <c r="O23" s="32"/>
    </row>
    <row r="24" spans="3:18">
      <c r="D24" s="30" t="s">
        <v>113</v>
      </c>
      <c r="E24" s="31" t="s">
        <v>107</v>
      </c>
      <c r="F24" s="32"/>
      <c r="G24" s="32"/>
      <c r="H24" s="32">
        <v>15</v>
      </c>
      <c r="K24" s="30" t="s">
        <v>127</v>
      </c>
      <c r="L24" s="31" t="s">
        <v>107</v>
      </c>
      <c r="M24" s="32"/>
      <c r="N24" s="32"/>
      <c r="O24" s="32">
        <v>73</v>
      </c>
    </row>
    <row r="25" spans="3:18">
      <c r="D25" s="30"/>
      <c r="E25" s="31" t="s">
        <v>108</v>
      </c>
      <c r="F25" s="32">
        <v>12</v>
      </c>
      <c r="G25" s="32">
        <v>5</v>
      </c>
      <c r="H25" s="32">
        <v>20</v>
      </c>
      <c r="K25" s="30" t="s">
        <v>126</v>
      </c>
      <c r="L25" s="31" t="s">
        <v>108</v>
      </c>
      <c r="M25" s="32"/>
      <c r="N25" s="32">
        <v>5</v>
      </c>
      <c r="O25" s="32">
        <v>60</v>
      </c>
    </row>
    <row r="26" spans="3:18">
      <c r="D26" s="30" t="s">
        <v>114</v>
      </c>
      <c r="E26" s="31" t="s">
        <v>109</v>
      </c>
      <c r="F26" s="32">
        <v>5</v>
      </c>
      <c r="G26" s="32">
        <v>3</v>
      </c>
      <c r="H26" s="32">
        <v>11</v>
      </c>
      <c r="K26" s="30"/>
      <c r="L26" s="31" t="s">
        <v>109</v>
      </c>
      <c r="M26" s="32">
        <v>31</v>
      </c>
      <c r="N26" s="32">
        <v>310</v>
      </c>
      <c r="O26" s="32">
        <v>36</v>
      </c>
    </row>
    <row r="27" spans="3:18">
      <c r="D27" s="30"/>
      <c r="E27" s="31"/>
      <c r="F27" s="32"/>
      <c r="G27" s="32"/>
      <c r="H27" s="32"/>
      <c r="K27" s="30"/>
      <c r="L27" s="31"/>
      <c r="M27" s="32"/>
      <c r="N27" s="32"/>
      <c r="O27" s="32"/>
    </row>
    <row r="28" spans="3:18">
      <c r="D28" s="52" t="s">
        <v>118</v>
      </c>
      <c r="E28" s="52"/>
      <c r="F28" s="52"/>
      <c r="G28" s="52"/>
      <c r="H28" s="52"/>
      <c r="I28">
        <f>COUNTA(D21:D26)</f>
        <v>4</v>
      </c>
      <c r="K28" s="52" t="s">
        <v>118</v>
      </c>
      <c r="L28" s="52"/>
      <c r="M28" s="52"/>
      <c r="N28" s="52"/>
      <c r="O28" s="52"/>
      <c r="P28" s="14">
        <f>COUNTA(K21:K26)</f>
        <v>4</v>
      </c>
    </row>
    <row r="29" spans="3:18">
      <c r="D29" s="52" t="s">
        <v>115</v>
      </c>
      <c r="E29" s="52"/>
      <c r="F29" s="52"/>
      <c r="G29" s="52"/>
      <c r="H29" s="52"/>
      <c r="I29">
        <f>COUNTA(F21:F26)</f>
        <v>4</v>
      </c>
      <c r="K29" s="52" t="s">
        <v>115</v>
      </c>
      <c r="L29" s="52"/>
      <c r="M29" s="52"/>
      <c r="N29" s="52"/>
      <c r="O29" s="52"/>
      <c r="P29">
        <f>COUNTA(F21:F26)</f>
        <v>4</v>
      </c>
    </row>
    <row r="30" spans="3:18">
      <c r="D30" s="52" t="s">
        <v>116</v>
      </c>
      <c r="E30" s="52"/>
      <c r="F30" s="52"/>
      <c r="G30" s="52"/>
      <c r="H30" s="52"/>
      <c r="I30">
        <v>0</v>
      </c>
      <c r="K30" s="52" t="s">
        <v>116</v>
      </c>
      <c r="L30" s="52"/>
      <c r="M30" s="52"/>
      <c r="N30" s="52"/>
      <c r="O30" s="52"/>
      <c r="P30">
        <v>0</v>
      </c>
    </row>
    <row r="31" spans="3:18">
      <c r="D31" s="52" t="s">
        <v>117</v>
      </c>
      <c r="E31" s="52"/>
      <c r="F31" s="52"/>
      <c r="G31" s="52"/>
      <c r="H31" s="52"/>
      <c r="I31">
        <f>COUNTA(G21:G26)</f>
        <v>5</v>
      </c>
      <c r="K31" s="52" t="s">
        <v>117</v>
      </c>
      <c r="L31" s="52"/>
      <c r="M31" s="52"/>
      <c r="N31" s="52"/>
      <c r="O31" s="52"/>
      <c r="P31">
        <v>0</v>
      </c>
    </row>
    <row r="32" spans="3:18" ht="16.5">
      <c r="D32" s="3"/>
      <c r="E32" s="17"/>
      <c r="F32" s="13"/>
      <c r="G32" s="13"/>
      <c r="H32" s="13"/>
    </row>
  </sheetData>
  <mergeCells count="8">
    <mergeCell ref="D28:H28"/>
    <mergeCell ref="D29:H29"/>
    <mergeCell ref="D30:H30"/>
    <mergeCell ref="D31:H31"/>
    <mergeCell ref="K28:O28"/>
    <mergeCell ref="K29:O29"/>
    <mergeCell ref="K30:O30"/>
    <mergeCell ref="K31:O31"/>
  </mergeCells>
  <conditionalFormatting sqref="D9">
    <cfRule type="duplicateValues" dxfId="47" priority="2"/>
    <cfRule type="duplicateValues" dxfId="46" priority="3"/>
    <cfRule type="duplicateValues" dxfId="45" priority="4"/>
    <cfRule type="duplicateValues" dxfId="44" priority="5"/>
    <cfRule type="duplicateValues" dxfId="43" priority="6"/>
  </conditionalFormatting>
  <conditionalFormatting sqref="D9">
    <cfRule type="duplicateValues" dxfId="42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8:S52"/>
  <sheetViews>
    <sheetView showGridLines="0" topLeftCell="G16" zoomScale="85" zoomScaleNormal="85" workbookViewId="0">
      <selection activeCell="R22" sqref="R22:S22"/>
    </sheetView>
  </sheetViews>
  <sheetFormatPr baseColWidth="10" defaultRowHeight="15"/>
  <cols>
    <col min="1" max="1" width="8.7109375" style="23" customWidth="1"/>
    <col min="2" max="2" width="3.42578125" customWidth="1"/>
    <col min="4" max="4" width="30.42578125" customWidth="1"/>
    <col min="5" max="5" width="14.7109375" customWidth="1"/>
    <col min="7" max="7" width="11.85546875" customWidth="1"/>
    <col min="8" max="8" width="12.7109375" customWidth="1"/>
    <col min="9" max="9" width="12.42578125" customWidth="1"/>
    <col min="10" max="10" width="11.42578125" customWidth="1"/>
    <col min="11" max="11" width="10.140625" customWidth="1"/>
    <col min="12" max="12" width="12.42578125" customWidth="1"/>
  </cols>
  <sheetData>
    <row r="8" spans="3:16">
      <c r="K8" s="8"/>
    </row>
    <row r="9" spans="3:16" ht="36.75" customHeight="1" thickBot="1">
      <c r="C9" s="25" t="s">
        <v>58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3:16" ht="15.75" thickTop="1">
      <c r="C10" s="1"/>
    </row>
    <row r="11" spans="3:16" ht="20.25">
      <c r="G11" s="27" t="s">
        <v>128</v>
      </c>
    </row>
    <row r="12" spans="3:16" ht="7.5" customHeight="1"/>
    <row r="13" spans="3:16" ht="15.75">
      <c r="C13" s="28" t="s">
        <v>0</v>
      </c>
      <c r="D13" s="34" t="s">
        <v>194</v>
      </c>
    </row>
    <row r="14" spans="3:16" ht="15.75">
      <c r="C14" s="28"/>
    </row>
    <row r="15" spans="3:16" ht="17.25">
      <c r="C15" s="28" t="s">
        <v>1</v>
      </c>
      <c r="D15" s="6"/>
    </row>
    <row r="16" spans="3:16" ht="15.75">
      <c r="C16" s="28"/>
    </row>
    <row r="17" spans="3:19" ht="15.75">
      <c r="C17" s="28" t="s">
        <v>2</v>
      </c>
    </row>
    <row r="18" spans="3:19" ht="15.75">
      <c r="D18" s="38" t="s">
        <v>4</v>
      </c>
      <c r="E18" s="35"/>
    </row>
    <row r="19" spans="3:19" ht="15.75">
      <c r="D19" s="38" t="s">
        <v>5</v>
      </c>
      <c r="E19" s="35"/>
    </row>
    <row r="20" spans="3:19" ht="30">
      <c r="D20" s="33" t="s">
        <v>6</v>
      </c>
      <c r="E20" s="33" t="s">
        <v>53</v>
      </c>
      <c r="F20" s="33" t="s">
        <v>7</v>
      </c>
      <c r="G20" s="33" t="s">
        <v>8</v>
      </c>
      <c r="H20" s="33" t="s">
        <v>9</v>
      </c>
      <c r="I20" s="33" t="s">
        <v>10</v>
      </c>
      <c r="J20" s="33" t="s">
        <v>11</v>
      </c>
      <c r="K20" s="36" t="s">
        <v>12</v>
      </c>
      <c r="L20" s="36" t="s">
        <v>13</v>
      </c>
    </row>
    <row r="21" spans="3:19" ht="18" customHeight="1" thickBot="1">
      <c r="D21" s="30" t="s">
        <v>52</v>
      </c>
      <c r="E21" s="37" t="s">
        <v>44</v>
      </c>
      <c r="F21" s="37" t="s">
        <v>47</v>
      </c>
      <c r="G21" s="37" t="s">
        <v>47</v>
      </c>
      <c r="H21" s="37" t="s">
        <v>51</v>
      </c>
      <c r="I21" s="37">
        <v>1300</v>
      </c>
      <c r="J21" s="37">
        <v>0</v>
      </c>
      <c r="K21" s="37">
        <v>0</v>
      </c>
      <c r="L21" s="37">
        <v>450</v>
      </c>
      <c r="N21" s="58" t="s">
        <v>129</v>
      </c>
      <c r="O21" s="58"/>
      <c r="P21" s="58"/>
      <c r="Q21" s="58"/>
      <c r="R21" s="58"/>
      <c r="S21" s="58"/>
    </row>
    <row r="22" spans="3:19" ht="15.75" customHeight="1" thickBot="1">
      <c r="D22" s="30" t="s">
        <v>15</v>
      </c>
      <c r="E22" s="37" t="s">
        <v>45</v>
      </c>
      <c r="F22" s="37" t="s">
        <v>47</v>
      </c>
      <c r="G22" s="37" t="s">
        <v>50</v>
      </c>
      <c r="H22" s="37" t="s">
        <v>46</v>
      </c>
      <c r="I22" s="37">
        <v>1500</v>
      </c>
      <c r="J22" s="37">
        <v>1</v>
      </c>
      <c r="K22" s="37">
        <v>1</v>
      </c>
      <c r="L22" s="37">
        <v>480</v>
      </c>
      <c r="N22" s="55" t="s">
        <v>55</v>
      </c>
      <c r="O22" s="55"/>
      <c r="P22" s="55"/>
      <c r="Q22" s="55"/>
      <c r="R22" s="53">
        <f>COUNTIF(E21:E52,"A")</f>
        <v>14</v>
      </c>
      <c r="S22" s="54"/>
    </row>
    <row r="23" spans="3:19" ht="15.75" thickBot="1">
      <c r="D23" s="30" t="s">
        <v>16</v>
      </c>
      <c r="E23" s="37" t="s">
        <v>44</v>
      </c>
      <c r="F23" s="37" t="s">
        <v>47</v>
      </c>
      <c r="G23" s="37" t="s">
        <v>50</v>
      </c>
      <c r="H23" s="37" t="s">
        <v>51</v>
      </c>
      <c r="I23" s="37">
        <v>2000</v>
      </c>
      <c r="J23" s="37">
        <v>1</v>
      </c>
      <c r="K23" s="37">
        <v>0</v>
      </c>
      <c r="L23" s="37">
        <v>250</v>
      </c>
      <c r="N23" s="55" t="s">
        <v>54</v>
      </c>
      <c r="O23" s="55"/>
      <c r="P23" s="55"/>
      <c r="Q23" s="55"/>
      <c r="R23" s="56">
        <f>COUNTIF(E21:E52,"B")</f>
        <v>10</v>
      </c>
      <c r="S23" s="57"/>
    </row>
    <row r="24" spans="3:19" ht="15.75" thickBot="1">
      <c r="D24" s="30" t="s">
        <v>17</v>
      </c>
      <c r="E24" s="37" t="s">
        <v>45</v>
      </c>
      <c r="F24" s="37" t="s">
        <v>48</v>
      </c>
      <c r="G24" s="37" t="s">
        <v>50</v>
      </c>
      <c r="H24" s="37" t="s">
        <v>46</v>
      </c>
      <c r="I24" s="37">
        <v>1500</v>
      </c>
      <c r="J24" s="37">
        <v>2</v>
      </c>
      <c r="K24" s="37">
        <v>3</v>
      </c>
      <c r="L24" s="37">
        <v>480</v>
      </c>
      <c r="N24" s="55" t="s">
        <v>130</v>
      </c>
      <c r="O24" s="55"/>
      <c r="P24" s="55"/>
      <c r="Q24" s="55"/>
      <c r="R24" s="56">
        <f>COUNTIF(E21:E52,"C")</f>
        <v>8</v>
      </c>
      <c r="S24" s="57"/>
    </row>
    <row r="25" spans="3:19">
      <c r="D25" s="30" t="s">
        <v>18</v>
      </c>
      <c r="E25" s="37" t="s">
        <v>44</v>
      </c>
      <c r="F25" s="37" t="s">
        <v>47</v>
      </c>
      <c r="G25" s="37" t="s">
        <v>50</v>
      </c>
      <c r="H25" s="37" t="s">
        <v>51</v>
      </c>
      <c r="I25" s="37">
        <v>2100</v>
      </c>
      <c r="J25" s="37">
        <v>1</v>
      </c>
      <c r="K25" s="37">
        <v>2</v>
      </c>
      <c r="L25" s="37">
        <v>420</v>
      </c>
    </row>
    <row r="26" spans="3:19" ht="17.100000000000001" customHeight="1" thickBot="1">
      <c r="D26" s="30" t="s">
        <v>19</v>
      </c>
      <c r="E26" s="37" t="s">
        <v>46</v>
      </c>
      <c r="F26" s="37" t="s">
        <v>48</v>
      </c>
      <c r="G26" s="37" t="s">
        <v>50</v>
      </c>
      <c r="H26" s="37" t="s">
        <v>46</v>
      </c>
      <c r="I26" s="37">
        <v>1200</v>
      </c>
      <c r="J26" s="37">
        <v>2</v>
      </c>
      <c r="K26" s="37">
        <v>3</v>
      </c>
      <c r="L26" s="37">
        <v>480</v>
      </c>
      <c r="N26" s="58" t="s">
        <v>131</v>
      </c>
      <c r="O26" s="58"/>
      <c r="P26" s="58"/>
      <c r="Q26" s="58"/>
      <c r="R26" s="58"/>
      <c r="S26" s="58"/>
    </row>
    <row r="27" spans="3:19" ht="15.75" thickBot="1">
      <c r="D27" s="30" t="s">
        <v>20</v>
      </c>
      <c r="E27" s="37" t="s">
        <v>45</v>
      </c>
      <c r="F27" s="37" t="s">
        <v>47</v>
      </c>
      <c r="G27" s="37" t="s">
        <v>50</v>
      </c>
      <c r="H27" s="37" t="s">
        <v>51</v>
      </c>
      <c r="I27" s="37">
        <v>1500</v>
      </c>
      <c r="J27" s="37">
        <v>0</v>
      </c>
      <c r="K27" s="37">
        <v>2</v>
      </c>
      <c r="L27" s="37">
        <v>410</v>
      </c>
      <c r="N27" s="55" t="s">
        <v>132</v>
      </c>
      <c r="O27" s="55"/>
      <c r="P27" s="55"/>
      <c r="Q27" s="55"/>
      <c r="R27" s="53">
        <f>COUNTIF(H21:H52,"S")</f>
        <v>17</v>
      </c>
      <c r="S27" s="54"/>
    </row>
    <row r="28" spans="3:19" ht="15.75" thickBot="1">
      <c r="D28" s="30" t="s">
        <v>21</v>
      </c>
      <c r="E28" s="37" t="s">
        <v>44</v>
      </c>
      <c r="F28" s="37" t="s">
        <v>49</v>
      </c>
      <c r="G28" s="37" t="s">
        <v>47</v>
      </c>
      <c r="H28" s="37" t="s">
        <v>46</v>
      </c>
      <c r="I28" s="37">
        <v>1200</v>
      </c>
      <c r="J28" s="37">
        <v>1</v>
      </c>
      <c r="K28" s="37">
        <v>4</v>
      </c>
      <c r="L28" s="37">
        <v>450</v>
      </c>
      <c r="N28" s="55" t="s">
        <v>133</v>
      </c>
      <c r="O28" s="55"/>
      <c r="P28" s="55"/>
      <c r="Q28" s="55"/>
      <c r="R28" s="56">
        <f>COUNTIF(H21:H52,"C")</f>
        <v>15</v>
      </c>
      <c r="S28" s="57"/>
    </row>
    <row r="29" spans="3:19">
      <c r="D29" s="30" t="s">
        <v>22</v>
      </c>
      <c r="E29" s="37" t="s">
        <v>45</v>
      </c>
      <c r="F29" s="37" t="s">
        <v>48</v>
      </c>
      <c r="G29" s="37" t="s">
        <v>47</v>
      </c>
      <c r="H29" s="37" t="s">
        <v>51</v>
      </c>
      <c r="I29" s="37">
        <v>1500</v>
      </c>
      <c r="J29" s="37">
        <v>1</v>
      </c>
      <c r="K29" s="37">
        <v>8</v>
      </c>
      <c r="L29" s="37">
        <v>320</v>
      </c>
    </row>
    <row r="30" spans="3:19" ht="17.100000000000001" customHeight="1" thickBot="1">
      <c r="D30" s="30" t="s">
        <v>23</v>
      </c>
      <c r="E30" s="37" t="s">
        <v>46</v>
      </c>
      <c r="F30" s="37" t="s">
        <v>49</v>
      </c>
      <c r="G30" s="37" t="s">
        <v>47</v>
      </c>
      <c r="H30" s="37" t="s">
        <v>46</v>
      </c>
      <c r="I30" s="37">
        <v>2500</v>
      </c>
      <c r="J30" s="37">
        <v>0</v>
      </c>
      <c r="K30" s="37">
        <v>1</v>
      </c>
      <c r="L30" s="37">
        <v>150</v>
      </c>
      <c r="N30" s="58" t="s">
        <v>134</v>
      </c>
      <c r="O30" s="58"/>
      <c r="P30" s="58"/>
      <c r="Q30" s="58"/>
      <c r="R30" s="58"/>
      <c r="S30" s="58"/>
    </row>
    <row r="31" spans="3:19" ht="15.75" thickBot="1">
      <c r="D31" s="30" t="s">
        <v>24</v>
      </c>
      <c r="E31" s="37" t="s">
        <v>44</v>
      </c>
      <c r="F31" s="37" t="s">
        <v>47</v>
      </c>
      <c r="G31" s="37" t="s">
        <v>50</v>
      </c>
      <c r="H31" s="37" t="s">
        <v>51</v>
      </c>
      <c r="I31" s="37">
        <v>3000</v>
      </c>
      <c r="J31" s="37">
        <v>1</v>
      </c>
      <c r="K31" s="37">
        <v>0</v>
      </c>
      <c r="L31" s="37">
        <v>250</v>
      </c>
      <c r="N31" s="55" t="s">
        <v>135</v>
      </c>
      <c r="O31" s="55"/>
      <c r="P31" s="55"/>
      <c r="Q31" s="55"/>
      <c r="R31" s="53">
        <f>COUNTIF(F21:F52,"M")</f>
        <v>12</v>
      </c>
      <c r="S31" s="54"/>
    </row>
    <row r="32" spans="3:19" ht="15.75" thickBot="1">
      <c r="D32" s="30" t="s">
        <v>25</v>
      </c>
      <c r="E32" s="37" t="s">
        <v>44</v>
      </c>
      <c r="F32" s="37" t="s">
        <v>48</v>
      </c>
      <c r="G32" s="37" t="s">
        <v>50</v>
      </c>
      <c r="H32" s="37" t="s">
        <v>51</v>
      </c>
      <c r="I32" s="37">
        <v>1500</v>
      </c>
      <c r="J32" s="37">
        <v>0</v>
      </c>
      <c r="K32" s="37">
        <v>0</v>
      </c>
      <c r="L32" s="37">
        <v>320</v>
      </c>
      <c r="N32" s="55" t="s">
        <v>136</v>
      </c>
      <c r="O32" s="55"/>
      <c r="P32" s="55"/>
      <c r="Q32" s="55"/>
      <c r="R32" s="53">
        <f t="shared" ref="R32:R33" si="0">COUNTIF(F22:F53,"M")</f>
        <v>11</v>
      </c>
      <c r="S32" s="54"/>
    </row>
    <row r="33" spans="4:19" ht="15.75" thickBot="1">
      <c r="D33" s="30" t="s">
        <v>26</v>
      </c>
      <c r="E33" s="37" t="s">
        <v>45</v>
      </c>
      <c r="F33" s="37" t="s">
        <v>47</v>
      </c>
      <c r="G33" s="37" t="s">
        <v>47</v>
      </c>
      <c r="H33" s="37" t="s">
        <v>51</v>
      </c>
      <c r="I33" s="37">
        <v>1500</v>
      </c>
      <c r="J33" s="37">
        <v>0</v>
      </c>
      <c r="K33" s="37">
        <v>2</v>
      </c>
      <c r="L33" s="37">
        <v>420</v>
      </c>
      <c r="N33" s="55" t="s">
        <v>137</v>
      </c>
      <c r="O33" s="55"/>
      <c r="P33" s="55"/>
      <c r="Q33" s="55"/>
      <c r="R33" s="53">
        <f t="shared" si="0"/>
        <v>10</v>
      </c>
      <c r="S33" s="54"/>
    </row>
    <row r="34" spans="4:19">
      <c r="D34" s="30" t="s">
        <v>27</v>
      </c>
      <c r="E34" s="37" t="s">
        <v>46</v>
      </c>
      <c r="F34" s="37" t="s">
        <v>48</v>
      </c>
      <c r="G34" s="37" t="s">
        <v>50</v>
      </c>
      <c r="H34" s="37" t="s">
        <v>46</v>
      </c>
      <c r="I34" s="37">
        <v>2000</v>
      </c>
      <c r="J34" s="37">
        <v>0</v>
      </c>
      <c r="K34" s="37">
        <v>0</v>
      </c>
      <c r="L34" s="37">
        <v>180</v>
      </c>
    </row>
    <row r="35" spans="4:19">
      <c r="D35" s="30" t="s">
        <v>28</v>
      </c>
      <c r="E35" s="37" t="s">
        <v>46</v>
      </c>
      <c r="F35" s="37" t="s">
        <v>47</v>
      </c>
      <c r="G35" s="37" t="s">
        <v>50</v>
      </c>
      <c r="H35" s="37" t="s">
        <v>46</v>
      </c>
      <c r="I35" s="37">
        <v>1800</v>
      </c>
      <c r="J35" s="37">
        <v>0</v>
      </c>
      <c r="K35" s="37">
        <v>1</v>
      </c>
      <c r="L35" s="37">
        <v>430</v>
      </c>
    </row>
    <row r="36" spans="4:19">
      <c r="D36" s="30" t="s">
        <v>29</v>
      </c>
      <c r="E36" s="37" t="s">
        <v>46</v>
      </c>
      <c r="F36" s="37" t="s">
        <v>47</v>
      </c>
      <c r="G36" s="37" t="s">
        <v>47</v>
      </c>
      <c r="H36" s="37" t="s">
        <v>51</v>
      </c>
      <c r="I36" s="37">
        <v>1800</v>
      </c>
      <c r="J36" s="37">
        <v>0</v>
      </c>
      <c r="K36" s="37">
        <v>0</v>
      </c>
      <c r="L36" s="37">
        <v>180</v>
      </c>
    </row>
    <row r="37" spans="4:19">
      <c r="D37" s="30" t="s">
        <v>30</v>
      </c>
      <c r="E37" s="37" t="s">
        <v>46</v>
      </c>
      <c r="F37" s="37" t="s">
        <v>48</v>
      </c>
      <c r="G37" s="37" t="s">
        <v>50</v>
      </c>
      <c r="H37" s="37" t="s">
        <v>46</v>
      </c>
      <c r="I37" s="37">
        <v>1500</v>
      </c>
      <c r="J37" s="37">
        <v>2</v>
      </c>
      <c r="K37" s="37">
        <v>5</v>
      </c>
      <c r="L37" s="37">
        <v>250</v>
      </c>
    </row>
    <row r="38" spans="4:19">
      <c r="D38" s="30" t="s">
        <v>31</v>
      </c>
      <c r="E38" s="37" t="s">
        <v>44</v>
      </c>
      <c r="F38" s="37" t="s">
        <v>48</v>
      </c>
      <c r="G38" s="37" t="s">
        <v>50</v>
      </c>
      <c r="H38" s="37" t="s">
        <v>51</v>
      </c>
      <c r="I38" s="37">
        <v>2000</v>
      </c>
      <c r="J38" s="37">
        <v>1</v>
      </c>
      <c r="K38" s="37">
        <v>10</v>
      </c>
      <c r="L38" s="37">
        <v>350</v>
      </c>
    </row>
    <row r="39" spans="4:19">
      <c r="D39" s="30" t="s">
        <v>32</v>
      </c>
      <c r="E39" s="37" t="s">
        <v>45</v>
      </c>
      <c r="F39" s="37" t="s">
        <v>49</v>
      </c>
      <c r="G39" s="37" t="s">
        <v>47</v>
      </c>
      <c r="H39" s="37" t="s">
        <v>46</v>
      </c>
      <c r="I39" s="37">
        <v>2000</v>
      </c>
      <c r="J39" s="37">
        <v>2</v>
      </c>
      <c r="K39" s="37">
        <v>0</v>
      </c>
      <c r="L39" s="37">
        <v>420</v>
      </c>
    </row>
    <row r="40" spans="4:19">
      <c r="D40" s="30" t="s">
        <v>33</v>
      </c>
      <c r="E40" s="37" t="s">
        <v>44</v>
      </c>
      <c r="F40" s="37" t="s">
        <v>47</v>
      </c>
      <c r="G40" s="37" t="s">
        <v>47</v>
      </c>
      <c r="H40" s="37" t="s">
        <v>46</v>
      </c>
      <c r="I40" s="37">
        <v>1500</v>
      </c>
      <c r="J40" s="37">
        <v>5</v>
      </c>
      <c r="K40" s="37">
        <v>2</v>
      </c>
      <c r="L40" s="37">
        <v>510</v>
      </c>
    </row>
    <row r="41" spans="4:19">
      <c r="D41" s="30" t="s">
        <v>34</v>
      </c>
      <c r="E41" s="37" t="s">
        <v>45</v>
      </c>
      <c r="F41" s="37" t="s">
        <v>49</v>
      </c>
      <c r="G41" s="37" t="s">
        <v>50</v>
      </c>
      <c r="H41" s="37" t="s">
        <v>51</v>
      </c>
      <c r="I41" s="37">
        <v>1500</v>
      </c>
      <c r="J41" s="37">
        <v>3</v>
      </c>
      <c r="K41" s="37">
        <v>1</v>
      </c>
      <c r="L41" s="37">
        <v>430</v>
      </c>
    </row>
    <row r="42" spans="4:19">
      <c r="D42" s="30" t="s">
        <v>35</v>
      </c>
      <c r="E42" s="37" t="s">
        <v>45</v>
      </c>
      <c r="F42" s="37" t="s">
        <v>48</v>
      </c>
      <c r="G42" s="37" t="s">
        <v>50</v>
      </c>
      <c r="H42" s="37" t="s">
        <v>51</v>
      </c>
      <c r="I42" s="37">
        <v>2100</v>
      </c>
      <c r="J42" s="37">
        <v>2</v>
      </c>
      <c r="K42" s="37">
        <v>3</v>
      </c>
      <c r="L42" s="37">
        <v>510</v>
      </c>
    </row>
    <row r="43" spans="4:19">
      <c r="D43" s="30" t="s">
        <v>36</v>
      </c>
      <c r="E43" s="37" t="s">
        <v>44</v>
      </c>
      <c r="F43" s="37" t="s">
        <v>49</v>
      </c>
      <c r="G43" s="37" t="s">
        <v>47</v>
      </c>
      <c r="H43" s="37" t="s">
        <v>46</v>
      </c>
      <c r="I43" s="37">
        <v>1400</v>
      </c>
      <c r="J43" s="37">
        <v>0</v>
      </c>
      <c r="K43" s="37">
        <v>0</v>
      </c>
      <c r="L43" s="37">
        <v>400</v>
      </c>
    </row>
    <row r="44" spans="4:19">
      <c r="D44" s="30" t="s">
        <v>37</v>
      </c>
      <c r="E44" s="37" t="s">
        <v>44</v>
      </c>
      <c r="F44" s="37" t="s">
        <v>47</v>
      </c>
      <c r="G44" s="37" t="s">
        <v>50</v>
      </c>
      <c r="H44" s="37" t="s">
        <v>51</v>
      </c>
      <c r="I44" s="37">
        <v>1300</v>
      </c>
      <c r="J44" s="37">
        <v>1</v>
      </c>
      <c r="K44" s="37">
        <v>0</v>
      </c>
      <c r="L44" s="37">
        <v>320</v>
      </c>
    </row>
    <row r="45" spans="4:19">
      <c r="D45" s="30" t="s">
        <v>38</v>
      </c>
      <c r="E45" s="37" t="s">
        <v>45</v>
      </c>
      <c r="F45" s="37" t="s">
        <v>49</v>
      </c>
      <c r="G45" s="37" t="s">
        <v>47</v>
      </c>
      <c r="H45" s="37" t="s">
        <v>46</v>
      </c>
      <c r="I45" s="37">
        <v>2500</v>
      </c>
      <c r="J45" s="37">
        <v>0</v>
      </c>
      <c r="K45" s="37">
        <v>1</v>
      </c>
      <c r="L45" s="37">
        <v>180</v>
      </c>
    </row>
    <row r="46" spans="4:19">
      <c r="D46" s="30" t="s">
        <v>39</v>
      </c>
      <c r="E46" s="37" t="s">
        <v>45</v>
      </c>
      <c r="F46" s="37" t="s">
        <v>48</v>
      </c>
      <c r="G46" s="37" t="s">
        <v>50</v>
      </c>
      <c r="H46" s="37" t="s">
        <v>46</v>
      </c>
      <c r="I46" s="37">
        <v>3000</v>
      </c>
      <c r="J46" s="37">
        <v>2</v>
      </c>
      <c r="K46" s="37">
        <v>0</v>
      </c>
      <c r="L46" s="37">
        <v>310</v>
      </c>
    </row>
    <row r="47" spans="4:19">
      <c r="D47" s="30" t="s">
        <v>40</v>
      </c>
      <c r="E47" s="37" t="s">
        <v>44</v>
      </c>
      <c r="F47" s="37" t="s">
        <v>48</v>
      </c>
      <c r="G47" s="37" t="s">
        <v>50</v>
      </c>
      <c r="H47" s="37" t="s">
        <v>51</v>
      </c>
      <c r="I47" s="37">
        <v>3000</v>
      </c>
      <c r="J47" s="37">
        <v>5</v>
      </c>
      <c r="K47" s="37">
        <v>3</v>
      </c>
      <c r="L47" s="37">
        <v>480</v>
      </c>
    </row>
    <row r="48" spans="4:19">
      <c r="D48" s="30" t="s">
        <v>41</v>
      </c>
      <c r="E48" s="37" t="s">
        <v>44</v>
      </c>
      <c r="F48" s="37" t="s">
        <v>47</v>
      </c>
      <c r="G48" s="37" t="s">
        <v>47</v>
      </c>
      <c r="H48" s="37" t="s">
        <v>51</v>
      </c>
      <c r="I48" s="37">
        <v>1500</v>
      </c>
      <c r="J48" s="37">
        <v>1</v>
      </c>
      <c r="K48" s="37">
        <v>5</v>
      </c>
      <c r="L48" s="37">
        <v>150</v>
      </c>
    </row>
    <row r="49" spans="4:12">
      <c r="D49" s="30" t="s">
        <v>42</v>
      </c>
      <c r="E49" s="37" t="s">
        <v>44</v>
      </c>
      <c r="F49" s="37" t="s">
        <v>48</v>
      </c>
      <c r="G49" s="37" t="s">
        <v>50</v>
      </c>
      <c r="H49" s="37" t="s">
        <v>46</v>
      </c>
      <c r="I49" s="37">
        <v>1200</v>
      </c>
      <c r="J49" s="37">
        <v>0</v>
      </c>
      <c r="K49" s="37">
        <v>8</v>
      </c>
      <c r="L49" s="37">
        <v>180</v>
      </c>
    </row>
    <row r="50" spans="4:12">
      <c r="D50" s="30" t="s">
        <v>43</v>
      </c>
      <c r="E50" s="37" t="s">
        <v>44</v>
      </c>
      <c r="F50" s="37" t="s">
        <v>49</v>
      </c>
      <c r="G50" s="37" t="s">
        <v>47</v>
      </c>
      <c r="H50" s="37" t="s">
        <v>51</v>
      </c>
      <c r="I50" s="37">
        <v>1500</v>
      </c>
      <c r="J50" s="37">
        <v>3</v>
      </c>
      <c r="K50" s="37">
        <v>2</v>
      </c>
      <c r="L50" s="37">
        <v>350</v>
      </c>
    </row>
    <row r="51" spans="4:12">
      <c r="D51" s="30" t="s">
        <v>14</v>
      </c>
      <c r="E51" s="37" t="s">
        <v>46</v>
      </c>
      <c r="F51" s="37" t="s">
        <v>49</v>
      </c>
      <c r="G51" s="37" t="s">
        <v>50</v>
      </c>
      <c r="H51" s="37" t="s">
        <v>46</v>
      </c>
      <c r="I51" s="37">
        <v>2100</v>
      </c>
      <c r="J51" s="37">
        <v>5</v>
      </c>
      <c r="K51" s="37">
        <v>0</v>
      </c>
      <c r="L51" s="37">
        <v>410</v>
      </c>
    </row>
    <row r="52" spans="4:12">
      <c r="D52" s="30" t="s">
        <v>15</v>
      </c>
      <c r="E52" s="37" t="s">
        <v>46</v>
      </c>
      <c r="F52" s="37" t="s">
        <v>48</v>
      </c>
      <c r="G52" s="37" t="s">
        <v>47</v>
      </c>
      <c r="H52" s="37" t="s">
        <v>51</v>
      </c>
      <c r="I52" s="37">
        <v>3100</v>
      </c>
      <c r="J52" s="37">
        <v>2</v>
      </c>
      <c r="K52" s="37">
        <v>5</v>
      </c>
      <c r="L52" s="37">
        <v>254</v>
      </c>
    </row>
  </sheetData>
  <mergeCells count="19">
    <mergeCell ref="N33:Q33"/>
    <mergeCell ref="R33:S33"/>
    <mergeCell ref="N30:S30"/>
    <mergeCell ref="N31:Q31"/>
    <mergeCell ref="R31:S31"/>
    <mergeCell ref="N32:Q32"/>
    <mergeCell ref="R32:S32"/>
    <mergeCell ref="R27:S27"/>
    <mergeCell ref="N28:Q28"/>
    <mergeCell ref="R28:S28"/>
    <mergeCell ref="N21:S21"/>
    <mergeCell ref="N22:Q22"/>
    <mergeCell ref="N23:Q23"/>
    <mergeCell ref="R22:S22"/>
    <mergeCell ref="R23:S23"/>
    <mergeCell ref="N24:Q24"/>
    <mergeCell ref="R24:S24"/>
    <mergeCell ref="N26:S26"/>
    <mergeCell ref="N27:Q27"/>
  </mergeCells>
  <conditionalFormatting sqref="D9">
    <cfRule type="duplicateValues" dxfId="41" priority="2"/>
    <cfRule type="duplicateValues" dxfId="40" priority="3"/>
    <cfRule type="duplicateValues" dxfId="39" priority="4"/>
    <cfRule type="duplicateValues" dxfId="38" priority="5"/>
    <cfRule type="duplicateValues" dxfId="37" priority="6"/>
  </conditionalFormatting>
  <conditionalFormatting sqref="D9">
    <cfRule type="duplicateValues" dxfId="36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8:P38"/>
  <sheetViews>
    <sheetView showGridLines="0" topLeftCell="G19" zoomScaleNormal="100" workbookViewId="0">
      <selection activeCell="P48" sqref="P48"/>
    </sheetView>
  </sheetViews>
  <sheetFormatPr baseColWidth="10" defaultRowHeight="15"/>
  <cols>
    <col min="1" max="1" width="8.7109375" style="24" customWidth="1"/>
    <col min="2" max="2" width="3.42578125" customWidth="1"/>
    <col min="4" max="4" width="14.85546875" bestFit="1" customWidth="1"/>
    <col min="5" max="5" width="14" customWidth="1"/>
    <col min="6" max="6" width="18.85546875" customWidth="1"/>
    <col min="7" max="7" width="17.85546875" customWidth="1"/>
    <col min="8" max="8" width="8.85546875" customWidth="1"/>
    <col min="9" max="9" width="13.42578125" customWidth="1"/>
    <col min="10" max="10" width="8.7109375" customWidth="1"/>
    <col min="11" max="11" width="17.42578125" customWidth="1"/>
  </cols>
  <sheetData>
    <row r="8" spans="3:16">
      <c r="L8" s="8"/>
    </row>
    <row r="9" spans="3:16" ht="36.75" customHeight="1" thickBot="1">
      <c r="C9" s="25" t="s">
        <v>58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3:16" ht="15.75" thickTop="1">
      <c r="C10" s="1"/>
    </row>
    <row r="11" spans="3:16" ht="20.25">
      <c r="G11" s="27" t="s">
        <v>138</v>
      </c>
    </row>
    <row r="12" spans="3:16" ht="7.5" customHeight="1"/>
    <row r="13" spans="3:16" ht="15.75">
      <c r="C13" s="28" t="s">
        <v>0</v>
      </c>
      <c r="D13" s="34" t="s">
        <v>195</v>
      </c>
    </row>
    <row r="14" spans="3:16" ht="15.75">
      <c r="C14" s="28"/>
    </row>
    <row r="15" spans="3:16" ht="17.25">
      <c r="C15" s="28" t="s">
        <v>1</v>
      </c>
      <c r="D15" s="6"/>
    </row>
    <row r="16" spans="3:16" ht="15.75">
      <c r="C16" s="28"/>
    </row>
    <row r="17" spans="3:16" ht="15.75">
      <c r="C17" s="28" t="s">
        <v>2</v>
      </c>
      <c r="H17" s="4"/>
    </row>
    <row r="19" spans="3:16" ht="18" customHeight="1">
      <c r="D19" s="39" t="s">
        <v>139</v>
      </c>
      <c r="E19" s="39" t="s">
        <v>56</v>
      </c>
      <c r="F19" s="39" t="s">
        <v>140</v>
      </c>
      <c r="G19" s="39" t="s">
        <v>141</v>
      </c>
      <c r="H19" s="39" t="s">
        <v>57</v>
      </c>
      <c r="I19" s="39" t="s">
        <v>142</v>
      </c>
      <c r="J19" s="19"/>
      <c r="K19" s="19"/>
    </row>
    <row r="20" spans="3:16" ht="17.25" thickBot="1">
      <c r="D20" s="40">
        <v>41051</v>
      </c>
      <c r="E20" s="41" t="s">
        <v>153</v>
      </c>
      <c r="F20" s="41" t="s">
        <v>143</v>
      </c>
      <c r="G20" s="41" t="s">
        <v>144</v>
      </c>
      <c r="H20" s="41">
        <v>90</v>
      </c>
      <c r="I20" s="41">
        <v>943</v>
      </c>
      <c r="J20" s="20"/>
      <c r="K20" s="58" t="s">
        <v>152</v>
      </c>
      <c r="L20" s="58"/>
      <c r="M20" s="58"/>
      <c r="N20" s="58"/>
      <c r="O20" s="58"/>
      <c r="P20" s="58"/>
    </row>
    <row r="21" spans="3:16" ht="17.25" thickBot="1">
      <c r="D21" s="40">
        <v>41052</v>
      </c>
      <c r="E21" s="41" t="s">
        <v>153</v>
      </c>
      <c r="F21" s="41" t="s">
        <v>143</v>
      </c>
      <c r="G21" s="41" t="s">
        <v>145</v>
      </c>
      <c r="H21" s="41">
        <v>85</v>
      </c>
      <c r="I21" s="41">
        <v>748</v>
      </c>
      <c r="J21" s="20"/>
      <c r="K21" s="59" t="s">
        <v>153</v>
      </c>
      <c r="L21" s="59"/>
      <c r="M21" s="59"/>
      <c r="N21" s="59"/>
      <c r="O21" s="60">
        <f>COUNTIFS(E20:E38,"Portátil",F20:F38,"Intercambiador",G20:G38,"Chincha")</f>
        <v>3</v>
      </c>
      <c r="P21" s="61"/>
    </row>
    <row r="22" spans="3:16" ht="15.75" customHeight="1" thickBot="1">
      <c r="D22" s="40">
        <v>41053</v>
      </c>
      <c r="E22" s="41" t="s">
        <v>153</v>
      </c>
      <c r="F22" s="41" t="s">
        <v>146</v>
      </c>
      <c r="G22" s="41" t="s">
        <v>147</v>
      </c>
      <c r="H22" s="41">
        <v>46</v>
      </c>
      <c r="I22" s="41">
        <v>231</v>
      </c>
      <c r="J22" s="20"/>
      <c r="K22" s="59" t="s">
        <v>143</v>
      </c>
      <c r="L22" s="59"/>
      <c r="M22" s="59"/>
      <c r="N22" s="59"/>
      <c r="O22" s="60"/>
      <c r="P22" s="61"/>
    </row>
    <row r="23" spans="3:16" ht="17.25" thickBot="1">
      <c r="D23" s="40">
        <v>41054</v>
      </c>
      <c r="E23" s="41" t="s">
        <v>153</v>
      </c>
      <c r="F23" s="41" t="s">
        <v>148</v>
      </c>
      <c r="G23" s="41" t="s">
        <v>145</v>
      </c>
      <c r="H23" s="41">
        <v>70</v>
      </c>
      <c r="I23" s="41">
        <v>35</v>
      </c>
      <c r="J23" s="20"/>
      <c r="K23" s="59" t="s">
        <v>144</v>
      </c>
      <c r="L23" s="59"/>
      <c r="M23" s="59"/>
      <c r="N23" s="59"/>
      <c r="O23" s="62"/>
      <c r="P23" s="63"/>
    </row>
    <row r="24" spans="3:16">
      <c r="D24" s="40">
        <v>41055</v>
      </c>
      <c r="E24" s="41" t="s">
        <v>153</v>
      </c>
      <c r="F24" s="41" t="s">
        <v>143</v>
      </c>
      <c r="G24" s="42" t="s">
        <v>144</v>
      </c>
      <c r="H24" s="42">
        <v>88</v>
      </c>
      <c r="I24" s="42">
        <v>246</v>
      </c>
      <c r="K24" s="30"/>
      <c r="L24" s="30"/>
      <c r="M24" s="30"/>
      <c r="N24" s="30"/>
      <c r="O24" s="30"/>
      <c r="P24" s="30"/>
    </row>
    <row r="25" spans="3:16" ht="15.75" thickBot="1">
      <c r="D25" s="40">
        <v>41056</v>
      </c>
      <c r="E25" s="41" t="s">
        <v>149</v>
      </c>
      <c r="F25" s="41" t="s">
        <v>150</v>
      </c>
      <c r="G25" s="41" t="s">
        <v>145</v>
      </c>
      <c r="H25" s="41">
        <v>82</v>
      </c>
      <c r="I25" s="41">
        <v>33</v>
      </c>
      <c r="K25" s="58" t="s">
        <v>152</v>
      </c>
      <c r="L25" s="58"/>
      <c r="M25" s="58"/>
      <c r="N25" s="58"/>
      <c r="O25" s="58"/>
      <c r="P25" s="58"/>
    </row>
    <row r="26" spans="3:16" ht="15.75" thickBot="1">
      <c r="D26" s="40">
        <v>41057</v>
      </c>
      <c r="E26" s="41" t="s">
        <v>153</v>
      </c>
      <c r="F26" s="41" t="s">
        <v>148</v>
      </c>
      <c r="G26" s="41" t="s">
        <v>144</v>
      </c>
      <c r="H26" s="41">
        <v>82</v>
      </c>
      <c r="I26" s="41">
        <v>201</v>
      </c>
      <c r="K26" s="59" t="s">
        <v>149</v>
      </c>
      <c r="L26" s="59"/>
      <c r="M26" s="59"/>
      <c r="N26" s="59"/>
      <c r="O26" s="60">
        <f>COUNTIFS(E20:E38,"PC fijo",F20:F38,"Puerto",G20:G38,"Chincha")</f>
        <v>2</v>
      </c>
      <c r="P26" s="61"/>
    </row>
    <row r="27" spans="3:16" ht="15.75" thickBot="1">
      <c r="D27" s="40">
        <v>41058</v>
      </c>
      <c r="E27" s="41" t="s">
        <v>149</v>
      </c>
      <c r="F27" s="41" t="s">
        <v>146</v>
      </c>
      <c r="G27" s="41" t="s">
        <v>144</v>
      </c>
      <c r="H27" s="41">
        <v>0</v>
      </c>
      <c r="I27" s="41">
        <v>770</v>
      </c>
      <c r="K27" s="59" t="s">
        <v>146</v>
      </c>
      <c r="L27" s="59"/>
      <c r="M27" s="59"/>
      <c r="N27" s="59"/>
      <c r="O27" s="60"/>
      <c r="P27" s="61"/>
    </row>
    <row r="28" spans="3:16" ht="15.75" thickBot="1">
      <c r="D28" s="40">
        <v>41059</v>
      </c>
      <c r="E28" s="41" t="s">
        <v>149</v>
      </c>
      <c r="F28" s="41" t="s">
        <v>143</v>
      </c>
      <c r="G28" s="41" t="s">
        <v>145</v>
      </c>
      <c r="H28" s="41">
        <v>51</v>
      </c>
      <c r="I28" s="41">
        <v>938</v>
      </c>
      <c r="K28" s="59" t="s">
        <v>144</v>
      </c>
      <c r="L28" s="59"/>
      <c r="M28" s="59"/>
      <c r="N28" s="59"/>
      <c r="O28" s="62"/>
      <c r="P28" s="63"/>
    </row>
    <row r="29" spans="3:16">
      <c r="D29" s="40">
        <v>41060</v>
      </c>
      <c r="E29" s="41" t="s">
        <v>153</v>
      </c>
      <c r="F29" s="41" t="s">
        <v>143</v>
      </c>
      <c r="G29" s="41" t="s">
        <v>144</v>
      </c>
      <c r="H29" s="41">
        <v>73</v>
      </c>
      <c r="I29" s="41">
        <v>209</v>
      </c>
      <c r="K29" s="30"/>
      <c r="L29" s="30"/>
      <c r="M29" s="30"/>
      <c r="N29" s="30"/>
      <c r="O29" s="30"/>
      <c r="P29" s="30"/>
    </row>
    <row r="30" spans="3:16" ht="15.75" thickBot="1">
      <c r="D30" s="40">
        <v>41061</v>
      </c>
      <c r="E30" s="41" t="s">
        <v>149</v>
      </c>
      <c r="F30" s="41" t="s">
        <v>146</v>
      </c>
      <c r="G30" s="41" t="s">
        <v>144</v>
      </c>
      <c r="H30" s="41">
        <v>48</v>
      </c>
      <c r="I30" s="41">
        <v>524</v>
      </c>
      <c r="K30" s="58" t="s">
        <v>152</v>
      </c>
      <c r="L30" s="58"/>
      <c r="M30" s="58"/>
      <c r="N30" s="58"/>
      <c r="O30" s="58"/>
      <c r="P30" s="58"/>
    </row>
    <row r="31" spans="3:16" ht="15.75" thickBot="1">
      <c r="D31" s="40">
        <v>41062</v>
      </c>
      <c r="E31" s="41" t="s">
        <v>153</v>
      </c>
      <c r="F31" s="41" t="s">
        <v>146</v>
      </c>
      <c r="G31" s="41" t="s">
        <v>145</v>
      </c>
      <c r="H31" s="41">
        <v>37</v>
      </c>
      <c r="I31" s="41">
        <v>432</v>
      </c>
      <c r="K31" s="59" t="s">
        <v>149</v>
      </c>
      <c r="L31" s="59"/>
      <c r="M31" s="59"/>
      <c r="N31" s="59"/>
      <c r="O31" s="60">
        <f>COUNTIFS(E20:E38,"PC fijo",F20:F38,"Aeropuerto",G20:G38,"Pisco")</f>
        <v>1</v>
      </c>
      <c r="P31" s="61"/>
    </row>
    <row r="32" spans="3:16" ht="15.75" thickBot="1">
      <c r="D32" s="40">
        <v>41063</v>
      </c>
      <c r="E32" s="41" t="s">
        <v>153</v>
      </c>
      <c r="F32" s="41" t="s">
        <v>148</v>
      </c>
      <c r="G32" s="41" t="s">
        <v>151</v>
      </c>
      <c r="H32" s="41">
        <v>41</v>
      </c>
      <c r="I32" s="41">
        <v>792</v>
      </c>
      <c r="K32" s="59" t="s">
        <v>150</v>
      </c>
      <c r="L32" s="59"/>
      <c r="M32" s="59"/>
      <c r="N32" s="59"/>
      <c r="O32" s="60"/>
      <c r="P32" s="61"/>
    </row>
    <row r="33" spans="4:16" ht="15.75" thickBot="1">
      <c r="D33" s="40">
        <v>41064</v>
      </c>
      <c r="E33" s="41" t="s">
        <v>153</v>
      </c>
      <c r="F33" s="41" t="s">
        <v>148</v>
      </c>
      <c r="G33" s="41" t="s">
        <v>147</v>
      </c>
      <c r="H33" s="41">
        <v>37</v>
      </c>
      <c r="I33" s="41">
        <v>858</v>
      </c>
      <c r="K33" s="59" t="s">
        <v>145</v>
      </c>
      <c r="L33" s="59"/>
      <c r="M33" s="59"/>
      <c r="N33" s="59"/>
      <c r="O33" s="62"/>
      <c r="P33" s="63"/>
    </row>
    <row r="34" spans="4:16">
      <c r="D34" s="40">
        <v>41065</v>
      </c>
      <c r="E34" s="41" t="s">
        <v>153</v>
      </c>
      <c r="F34" s="41" t="s">
        <v>148</v>
      </c>
      <c r="G34" s="41" t="s">
        <v>144</v>
      </c>
      <c r="H34" s="41">
        <v>35</v>
      </c>
      <c r="I34" s="41">
        <v>332</v>
      </c>
      <c r="J34" s="18"/>
      <c r="K34" s="37"/>
      <c r="L34" s="30"/>
      <c r="M34" s="30"/>
      <c r="N34" s="30"/>
      <c r="O34" s="30"/>
      <c r="P34" s="30"/>
    </row>
    <row r="35" spans="4:16" ht="15.75" thickBot="1">
      <c r="D35" s="40">
        <v>41066</v>
      </c>
      <c r="E35" s="41" t="s">
        <v>153</v>
      </c>
      <c r="F35" s="41" t="s">
        <v>148</v>
      </c>
      <c r="G35" s="41" t="s">
        <v>151</v>
      </c>
      <c r="H35" s="41">
        <v>42</v>
      </c>
      <c r="I35" s="41">
        <v>742</v>
      </c>
      <c r="J35" s="18"/>
      <c r="K35" s="58" t="s">
        <v>152</v>
      </c>
      <c r="L35" s="58"/>
      <c r="M35" s="58"/>
      <c r="N35" s="58"/>
      <c r="O35" s="58"/>
      <c r="P35" s="58"/>
    </row>
    <row r="36" spans="4:16" ht="15.75" thickBot="1">
      <c r="D36" s="40">
        <v>41067</v>
      </c>
      <c r="E36" s="41" t="s">
        <v>153</v>
      </c>
      <c r="F36" s="41" t="s">
        <v>146</v>
      </c>
      <c r="G36" s="41" t="s">
        <v>145</v>
      </c>
      <c r="H36" s="41">
        <v>53</v>
      </c>
      <c r="I36" s="41">
        <v>980</v>
      </c>
      <c r="K36" s="59" t="s">
        <v>153</v>
      </c>
      <c r="L36" s="59"/>
      <c r="M36" s="59"/>
      <c r="N36" s="59"/>
      <c r="O36" s="60">
        <f>COUNTIFS(E20:E38,"Portátil",F20:F38,"General",G20:G38,"Cañete")</f>
        <v>2</v>
      </c>
      <c r="P36" s="61"/>
    </row>
    <row r="37" spans="4:16" ht="15.75" thickBot="1">
      <c r="D37" s="40">
        <v>41068</v>
      </c>
      <c r="E37" s="41" t="s">
        <v>153</v>
      </c>
      <c r="F37" s="41" t="s">
        <v>148</v>
      </c>
      <c r="G37" s="41" t="s">
        <v>144</v>
      </c>
      <c r="H37" s="41">
        <v>52</v>
      </c>
      <c r="I37" s="41">
        <v>358</v>
      </c>
      <c r="K37" s="59" t="s">
        <v>148</v>
      </c>
      <c r="L37" s="59"/>
      <c r="M37" s="59"/>
      <c r="N37" s="59"/>
      <c r="O37" s="60"/>
      <c r="P37" s="61"/>
    </row>
    <row r="38" spans="4:16" ht="15.75" thickBot="1">
      <c r="D38" s="40">
        <v>41069</v>
      </c>
      <c r="E38" s="41" t="s">
        <v>153</v>
      </c>
      <c r="F38" s="41" t="s">
        <v>146</v>
      </c>
      <c r="G38" s="41" t="s">
        <v>144</v>
      </c>
      <c r="H38" s="41">
        <v>56</v>
      </c>
      <c r="I38" s="41">
        <v>875</v>
      </c>
      <c r="K38" s="59" t="s">
        <v>151</v>
      </c>
      <c r="L38" s="59"/>
      <c r="M38" s="59"/>
      <c r="N38" s="59"/>
      <c r="O38" s="62"/>
      <c r="P38" s="63"/>
    </row>
  </sheetData>
  <mergeCells count="20">
    <mergeCell ref="K36:N36"/>
    <mergeCell ref="O36:P38"/>
    <mergeCell ref="K37:N37"/>
    <mergeCell ref="K38:N38"/>
    <mergeCell ref="K31:N31"/>
    <mergeCell ref="O31:P33"/>
    <mergeCell ref="K32:N32"/>
    <mergeCell ref="K33:N33"/>
    <mergeCell ref="K35:P35"/>
    <mergeCell ref="K26:N26"/>
    <mergeCell ref="O26:P28"/>
    <mergeCell ref="K27:N27"/>
    <mergeCell ref="K28:N28"/>
    <mergeCell ref="K30:P30"/>
    <mergeCell ref="K25:P25"/>
    <mergeCell ref="K21:N21"/>
    <mergeCell ref="K22:N22"/>
    <mergeCell ref="K20:P20"/>
    <mergeCell ref="K23:N23"/>
    <mergeCell ref="O21:P23"/>
  </mergeCells>
  <conditionalFormatting sqref="D9">
    <cfRule type="duplicateValues" dxfId="35" priority="2"/>
    <cfRule type="duplicateValues" dxfId="34" priority="3"/>
    <cfRule type="duplicateValues" dxfId="33" priority="4"/>
    <cfRule type="duplicateValues" dxfId="32" priority="5"/>
    <cfRule type="duplicateValues" dxfId="31" priority="6"/>
  </conditionalFormatting>
  <conditionalFormatting sqref="D9">
    <cfRule type="duplicateValues" dxfId="3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8:Q36"/>
  <sheetViews>
    <sheetView showGridLines="0" topLeftCell="H7" zoomScaleNormal="100" workbookViewId="0">
      <selection activeCell="I30" sqref="I30"/>
    </sheetView>
  </sheetViews>
  <sheetFormatPr baseColWidth="10" defaultRowHeight="15"/>
  <cols>
    <col min="1" max="1" width="8.7109375" style="23" customWidth="1"/>
    <col min="2" max="2" width="3.42578125" customWidth="1"/>
    <col min="4" max="4" width="12" customWidth="1"/>
    <col min="5" max="5" width="17.42578125" bestFit="1" customWidth="1"/>
    <col min="6" max="6" width="15.28515625" customWidth="1"/>
    <col min="7" max="7" width="13.42578125" customWidth="1"/>
    <col min="8" max="8" width="10.140625" customWidth="1"/>
    <col min="9" max="9" width="16.85546875" bestFit="1" customWidth="1"/>
    <col min="10" max="10" width="15.42578125" customWidth="1"/>
    <col min="12" max="12" width="18" bestFit="1" customWidth="1"/>
    <col min="13" max="13" width="11.85546875" bestFit="1" customWidth="1"/>
    <col min="14" max="14" width="11.7109375" bestFit="1" customWidth="1"/>
    <col min="15" max="15" width="10.28515625" bestFit="1" customWidth="1"/>
  </cols>
  <sheetData>
    <row r="8" spans="3:16">
      <c r="L8" s="8"/>
    </row>
    <row r="9" spans="3:16" ht="36.75" customHeight="1" thickBot="1">
      <c r="C9" s="25" t="s">
        <v>58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3:16" ht="15.75" thickTop="1">
      <c r="C10" s="1"/>
    </row>
    <row r="11" spans="3:16" ht="20.25">
      <c r="G11" s="27" t="s">
        <v>154</v>
      </c>
    </row>
    <row r="12" spans="3:16" ht="7.5" customHeight="1"/>
    <row r="13" spans="3:16" ht="15.75">
      <c r="C13" s="28" t="s">
        <v>0</v>
      </c>
      <c r="D13" s="34" t="s">
        <v>196</v>
      </c>
      <c r="E13" s="34"/>
      <c r="F13" s="34"/>
      <c r="G13" s="34"/>
      <c r="H13" s="34"/>
      <c r="I13" s="34"/>
      <c r="J13" s="34"/>
      <c r="K13" s="34"/>
    </row>
    <row r="14" spans="3:16" ht="15.75">
      <c r="C14" s="28"/>
    </row>
    <row r="15" spans="3:16" ht="17.25">
      <c r="C15" s="28" t="s">
        <v>1</v>
      </c>
      <c r="D15" s="6"/>
    </row>
    <row r="16" spans="3:16" ht="15.75">
      <c r="C16" s="28"/>
    </row>
    <row r="17" spans="3:17" ht="15.75">
      <c r="C17" s="28" t="s">
        <v>2</v>
      </c>
      <c r="D17" s="34" t="s">
        <v>110</v>
      </c>
      <c r="I17" s="18"/>
    </row>
    <row r="18" spans="3:17" ht="15.75">
      <c r="I18" s="18"/>
      <c r="J18" s="28" t="s">
        <v>3</v>
      </c>
      <c r="K18" s="34" t="s">
        <v>123</v>
      </c>
      <c r="L18" s="34"/>
      <c r="M18" s="34"/>
      <c r="N18" s="34"/>
      <c r="O18" s="34"/>
    </row>
    <row r="19" spans="3:17" ht="15.75">
      <c r="D19" s="39" t="s">
        <v>100</v>
      </c>
      <c r="E19" s="39" t="s">
        <v>104</v>
      </c>
      <c r="F19" s="39" t="s">
        <v>101</v>
      </c>
      <c r="G19" s="39" t="s">
        <v>102</v>
      </c>
      <c r="H19" s="39" t="s">
        <v>119</v>
      </c>
    </row>
    <row r="20" spans="3:17" ht="15.75">
      <c r="D20" s="46" t="s">
        <v>103</v>
      </c>
      <c r="E20" s="47" t="s">
        <v>105</v>
      </c>
      <c r="F20" s="48">
        <v>5</v>
      </c>
      <c r="G20" s="48">
        <v>2</v>
      </c>
      <c r="H20" s="48"/>
      <c r="K20" s="39" t="s">
        <v>100</v>
      </c>
      <c r="L20" s="39" t="s">
        <v>104</v>
      </c>
      <c r="M20" s="39" t="s">
        <v>120</v>
      </c>
      <c r="N20" s="39" t="s">
        <v>121</v>
      </c>
      <c r="O20" s="39" t="s">
        <v>122</v>
      </c>
    </row>
    <row r="21" spans="3:17">
      <c r="D21" s="46"/>
      <c r="E21" s="47" t="s">
        <v>106</v>
      </c>
      <c r="F21" s="48"/>
      <c r="G21" s="48">
        <v>4</v>
      </c>
      <c r="H21" s="48"/>
      <c r="K21" s="46" t="s">
        <v>124</v>
      </c>
      <c r="L21" s="47" t="s">
        <v>105</v>
      </c>
      <c r="M21" s="48">
        <v>70</v>
      </c>
      <c r="N21" s="48">
        <v>40</v>
      </c>
      <c r="O21" s="48">
        <v>43</v>
      </c>
    </row>
    <row r="22" spans="3:17" ht="15.75" customHeight="1">
      <c r="D22" s="46" t="s">
        <v>112</v>
      </c>
      <c r="E22" s="47" t="s">
        <v>111</v>
      </c>
      <c r="F22" s="48">
        <v>5</v>
      </c>
      <c r="G22" s="48">
        <v>2</v>
      </c>
      <c r="H22" s="48">
        <v>2</v>
      </c>
      <c r="K22" s="46" t="s">
        <v>125</v>
      </c>
      <c r="L22" s="47" t="s">
        <v>106</v>
      </c>
      <c r="M22" s="48">
        <v>60</v>
      </c>
      <c r="N22" s="48"/>
      <c r="O22" s="48">
        <v>50</v>
      </c>
    </row>
    <row r="23" spans="3:17">
      <c r="D23" s="46" t="s">
        <v>113</v>
      </c>
      <c r="E23" s="47" t="s">
        <v>107</v>
      </c>
      <c r="F23" s="48"/>
      <c r="G23" s="48"/>
      <c r="H23" s="48">
        <v>15</v>
      </c>
      <c r="K23" s="46"/>
      <c r="L23" s="47" t="s">
        <v>111</v>
      </c>
      <c r="M23" s="48">
        <v>5</v>
      </c>
      <c r="N23" s="48">
        <v>2</v>
      </c>
      <c r="O23" s="48"/>
    </row>
    <row r="24" spans="3:17">
      <c r="D24" s="46"/>
      <c r="E24" s="47" t="s">
        <v>108</v>
      </c>
      <c r="F24" s="48">
        <v>12</v>
      </c>
      <c r="G24" s="48">
        <v>5</v>
      </c>
      <c r="H24" s="48">
        <v>20</v>
      </c>
      <c r="K24" s="46" t="s">
        <v>127</v>
      </c>
      <c r="L24" s="47" t="s">
        <v>107</v>
      </c>
      <c r="M24" s="48"/>
      <c r="N24" s="48"/>
      <c r="O24" s="48">
        <v>73</v>
      </c>
    </row>
    <row r="25" spans="3:17">
      <c r="D25" s="46" t="s">
        <v>114</v>
      </c>
      <c r="E25" s="47" t="s">
        <v>109</v>
      </c>
      <c r="F25" s="48">
        <v>5</v>
      </c>
      <c r="G25" s="48">
        <v>3</v>
      </c>
      <c r="H25" s="48">
        <v>11</v>
      </c>
      <c r="K25" s="46" t="s">
        <v>126</v>
      </c>
      <c r="L25" s="47" t="s">
        <v>108</v>
      </c>
      <c r="M25" s="48"/>
      <c r="N25" s="48">
        <v>5</v>
      </c>
      <c r="O25" s="48">
        <v>60</v>
      </c>
    </row>
    <row r="26" spans="3:17">
      <c r="D26" s="46"/>
      <c r="E26" s="47"/>
      <c r="F26" s="48"/>
      <c r="G26" s="48"/>
      <c r="H26" s="48"/>
      <c r="K26" s="46"/>
      <c r="L26" s="47" t="s">
        <v>109</v>
      </c>
      <c r="M26" s="48">
        <v>31</v>
      </c>
      <c r="N26" s="48">
        <v>310</v>
      </c>
      <c r="O26" s="48">
        <v>36</v>
      </c>
    </row>
    <row r="27" spans="3:17">
      <c r="D27" s="44" t="s">
        <v>155</v>
      </c>
      <c r="E27" s="45"/>
      <c r="F27" s="43"/>
      <c r="G27" s="43"/>
      <c r="H27" s="43"/>
      <c r="I27">
        <f>COUNTBLANK(D20:D25)</f>
        <v>2</v>
      </c>
      <c r="K27" s="46"/>
      <c r="L27" s="47"/>
      <c r="M27" s="48"/>
      <c r="N27" s="48"/>
      <c r="O27" s="48"/>
    </row>
    <row r="28" spans="3:17">
      <c r="D28" s="44" t="s">
        <v>156</v>
      </c>
      <c r="E28" s="45"/>
      <c r="F28" s="43"/>
      <c r="G28" s="43"/>
      <c r="H28" s="43"/>
      <c r="I28">
        <f>COUNTBLANK(F20:F25)</f>
        <v>2</v>
      </c>
      <c r="K28" s="65" t="s">
        <v>159</v>
      </c>
      <c r="L28" s="65"/>
      <c r="M28" s="65"/>
      <c r="N28" s="65"/>
      <c r="O28" s="65"/>
      <c r="P28" s="44"/>
      <c r="Q28">
        <f>COUNTBLANK(K21:K26)</f>
        <v>2</v>
      </c>
    </row>
    <row r="29" spans="3:17">
      <c r="D29" s="44" t="s">
        <v>157</v>
      </c>
      <c r="E29" s="45"/>
      <c r="F29" s="43"/>
      <c r="G29" s="43"/>
      <c r="H29" s="43"/>
      <c r="I29">
        <v>0</v>
      </c>
      <c r="K29" s="44" t="s">
        <v>115</v>
      </c>
      <c r="L29" s="45"/>
      <c r="M29" s="43"/>
      <c r="N29" s="43"/>
      <c r="O29" s="43"/>
      <c r="P29" s="44"/>
      <c r="Q29">
        <f>COUNTA(F20:F25)</f>
        <v>4</v>
      </c>
    </row>
    <row r="30" spans="3:17">
      <c r="D30" s="44" t="s">
        <v>158</v>
      </c>
      <c r="E30" s="45"/>
      <c r="F30" s="43"/>
      <c r="G30" s="43"/>
      <c r="H30" s="43"/>
      <c r="I30">
        <f>COUNTBLANK(G20:G25)</f>
        <v>1</v>
      </c>
      <c r="K30" s="44" t="s">
        <v>116</v>
      </c>
      <c r="L30" s="45"/>
      <c r="M30" s="43"/>
      <c r="N30" s="43"/>
      <c r="O30" s="43"/>
      <c r="P30" s="44"/>
      <c r="Q30">
        <v>0</v>
      </c>
    </row>
    <row r="31" spans="3:17">
      <c r="K31" s="44" t="s">
        <v>117</v>
      </c>
      <c r="L31" s="45"/>
      <c r="M31" s="43"/>
      <c r="N31" s="43"/>
      <c r="O31" s="43"/>
      <c r="P31" s="44"/>
      <c r="Q31">
        <v>0</v>
      </c>
    </row>
    <row r="34" spans="4:10">
      <c r="D34" s="64"/>
      <c r="E34" s="64"/>
      <c r="I34" s="21"/>
    </row>
    <row r="35" spans="4:10">
      <c r="D35" s="64"/>
      <c r="E35" s="64"/>
      <c r="I35" s="21"/>
      <c r="J35" s="21"/>
    </row>
    <row r="36" spans="4:10">
      <c r="J36" s="21"/>
    </row>
  </sheetData>
  <mergeCells count="3">
    <mergeCell ref="D34:E34"/>
    <mergeCell ref="D35:E35"/>
    <mergeCell ref="K28:O28"/>
  </mergeCells>
  <conditionalFormatting sqref="D9">
    <cfRule type="duplicateValues" dxfId="29" priority="2"/>
    <cfRule type="duplicateValues" dxfId="28" priority="3"/>
    <cfRule type="duplicateValues" dxfId="27" priority="4"/>
    <cfRule type="duplicateValues" dxfId="26" priority="5"/>
    <cfRule type="duplicateValues" dxfId="25" priority="6"/>
  </conditionalFormatting>
  <conditionalFormatting sqref="D9">
    <cfRule type="duplicateValues" dxfId="24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/>
  <dimension ref="A8:T59"/>
  <sheetViews>
    <sheetView showGridLines="0" topLeftCell="D10" zoomScale="70" zoomScaleNormal="70" workbookViewId="0">
      <selection activeCell="N35" sqref="N35"/>
    </sheetView>
  </sheetViews>
  <sheetFormatPr baseColWidth="10" defaultRowHeight="15"/>
  <cols>
    <col min="1" max="1" width="8.7109375" style="23" customWidth="1"/>
    <col min="2" max="2" width="3.42578125" customWidth="1"/>
    <col min="4" max="4" width="30.140625" customWidth="1"/>
    <col min="5" max="5" width="10.28515625" bestFit="1" customWidth="1"/>
    <col min="6" max="7" width="9.140625" customWidth="1"/>
    <col min="8" max="8" width="10.42578125" bestFit="1" customWidth="1"/>
    <col min="9" max="10" width="9.140625" customWidth="1"/>
    <col min="11" max="11" width="9" bestFit="1" customWidth="1"/>
    <col min="12" max="12" width="12.28515625" bestFit="1" customWidth="1"/>
    <col min="13" max="13" width="5" customWidth="1"/>
    <col min="19" max="19" width="15.85546875" customWidth="1"/>
  </cols>
  <sheetData>
    <row r="8" spans="3:16">
      <c r="K8" s="8"/>
    </row>
    <row r="9" spans="3:16" ht="36.75" customHeight="1" thickBot="1">
      <c r="C9" s="25" t="s">
        <v>58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3:16" ht="15.75" thickTop="1">
      <c r="C10" s="1"/>
    </row>
    <row r="11" spans="3:16" ht="20.25">
      <c r="G11" s="27" t="s">
        <v>160</v>
      </c>
    </row>
    <row r="13" spans="3:16" ht="15.75">
      <c r="C13" s="28" t="s">
        <v>0</v>
      </c>
      <c r="D13" s="34" t="s">
        <v>197</v>
      </c>
    </row>
    <row r="14" spans="3:16" ht="15.75">
      <c r="C14" s="28"/>
    </row>
    <row r="15" spans="3:16" ht="17.25">
      <c r="C15" s="28" t="s">
        <v>1</v>
      </c>
      <c r="D15" s="6"/>
    </row>
    <row r="16" spans="3:16" ht="15.75">
      <c r="C16" s="28"/>
    </row>
    <row r="17" spans="3:20" ht="15.75">
      <c r="C17" s="28" t="s">
        <v>2</v>
      </c>
    </row>
    <row r="18" spans="3:20" ht="15.75">
      <c r="D18" s="38" t="s">
        <v>4</v>
      </c>
    </row>
    <row r="19" spans="3:20" ht="15.75">
      <c r="D19" s="38" t="s">
        <v>5</v>
      </c>
    </row>
    <row r="20" spans="3:20" ht="30" customHeight="1">
      <c r="D20" s="33" t="s">
        <v>6</v>
      </c>
      <c r="E20" s="33" t="s">
        <v>53</v>
      </c>
      <c r="F20" s="33" t="s">
        <v>7</v>
      </c>
      <c r="G20" s="33" t="s">
        <v>8</v>
      </c>
      <c r="H20" s="33" t="s">
        <v>9</v>
      </c>
      <c r="I20" s="33" t="s">
        <v>10</v>
      </c>
      <c r="J20" s="33" t="s">
        <v>11</v>
      </c>
      <c r="K20" s="36" t="s">
        <v>12</v>
      </c>
      <c r="L20" s="36" t="s">
        <v>13</v>
      </c>
      <c r="T20" s="10"/>
    </row>
    <row r="21" spans="3:20" ht="15.95" customHeight="1">
      <c r="D21" s="30" t="s">
        <v>52</v>
      </c>
      <c r="E21" s="37" t="s">
        <v>44</v>
      </c>
      <c r="F21" s="37" t="s">
        <v>47</v>
      </c>
      <c r="G21" s="37" t="s">
        <v>47</v>
      </c>
      <c r="H21" s="37" t="s">
        <v>51</v>
      </c>
      <c r="I21" s="37">
        <v>1300</v>
      </c>
      <c r="J21" s="37">
        <v>0</v>
      </c>
      <c r="K21" s="37">
        <v>0</v>
      </c>
      <c r="L21" s="37">
        <v>450</v>
      </c>
      <c r="N21" s="66" t="s">
        <v>161</v>
      </c>
      <c r="O21" s="66"/>
      <c r="P21" s="66"/>
      <c r="Q21" s="66"/>
      <c r="R21" s="66"/>
      <c r="S21" s="66"/>
      <c r="T21" s="11"/>
    </row>
    <row r="22" spans="3:20" ht="18" thickBot="1">
      <c r="D22" s="30" t="s">
        <v>15</v>
      </c>
      <c r="E22" s="37" t="s">
        <v>45</v>
      </c>
      <c r="F22" s="37" t="s">
        <v>47</v>
      </c>
      <c r="G22" s="37" t="s">
        <v>50</v>
      </c>
      <c r="H22" s="37" t="s">
        <v>46</v>
      </c>
      <c r="I22" s="37">
        <v>1500</v>
      </c>
      <c r="J22" s="37">
        <v>1</v>
      </c>
      <c r="K22" s="37">
        <v>1</v>
      </c>
      <c r="L22" s="37">
        <v>480</v>
      </c>
      <c r="N22" s="67">
        <f>LARGE(I21:I52,2)</f>
        <v>3000</v>
      </c>
      <c r="O22" s="68"/>
      <c r="P22" s="68"/>
      <c r="Q22" s="68"/>
      <c r="R22" s="68"/>
      <c r="S22" s="69"/>
      <c r="T22" s="11"/>
    </row>
    <row r="23" spans="3:20" ht="15.75" customHeight="1">
      <c r="D23" s="30" t="s">
        <v>16</v>
      </c>
      <c r="E23" s="37" t="s">
        <v>44</v>
      </c>
      <c r="F23" s="37" t="s">
        <v>47</v>
      </c>
      <c r="G23" s="37" t="s">
        <v>50</v>
      </c>
      <c r="H23" s="37" t="s">
        <v>51</v>
      </c>
      <c r="I23" s="37">
        <v>2000</v>
      </c>
      <c r="J23" s="37">
        <v>1</v>
      </c>
      <c r="K23" s="37">
        <v>0</v>
      </c>
      <c r="L23" s="37">
        <v>250</v>
      </c>
      <c r="T23" s="11"/>
    </row>
    <row r="24" spans="3:20" ht="18" customHeight="1">
      <c r="D24" s="30" t="s">
        <v>17</v>
      </c>
      <c r="E24" s="37" t="s">
        <v>45</v>
      </c>
      <c r="F24" s="37" t="s">
        <v>48</v>
      </c>
      <c r="G24" s="37" t="s">
        <v>50</v>
      </c>
      <c r="H24" s="37" t="s">
        <v>46</v>
      </c>
      <c r="I24" s="37">
        <v>1500</v>
      </c>
      <c r="J24" s="37">
        <v>2</v>
      </c>
      <c r="K24" s="37">
        <v>3</v>
      </c>
      <c r="L24" s="37">
        <v>480</v>
      </c>
      <c r="N24" s="66" t="s">
        <v>162</v>
      </c>
      <c r="O24" s="66"/>
      <c r="P24" s="66"/>
      <c r="Q24" s="66"/>
      <c r="R24" s="66"/>
      <c r="S24" s="66"/>
      <c r="T24" s="11"/>
    </row>
    <row r="25" spans="3:20" ht="18" thickBot="1">
      <c r="D25" s="30" t="s">
        <v>18</v>
      </c>
      <c r="E25" s="37" t="s">
        <v>44</v>
      </c>
      <c r="F25" s="37" t="s">
        <v>47</v>
      </c>
      <c r="G25" s="37" t="s">
        <v>50</v>
      </c>
      <c r="H25" s="37" t="s">
        <v>51</v>
      </c>
      <c r="I25" s="37">
        <v>2100</v>
      </c>
      <c r="J25" s="37">
        <v>1</v>
      </c>
      <c r="K25" s="37">
        <v>2</v>
      </c>
      <c r="L25" s="37">
        <v>420</v>
      </c>
      <c r="N25" s="67">
        <f>LARGE(I21:I52,4)</f>
        <v>3000</v>
      </c>
      <c r="O25" s="68"/>
      <c r="P25" s="68"/>
      <c r="Q25" s="68"/>
      <c r="R25" s="68"/>
      <c r="S25" s="69"/>
      <c r="T25" s="11"/>
    </row>
    <row r="26" spans="3:20" ht="15.75">
      <c r="D26" s="30" t="s">
        <v>19</v>
      </c>
      <c r="E26" s="37" t="s">
        <v>46</v>
      </c>
      <c r="F26" s="37" t="s">
        <v>48</v>
      </c>
      <c r="G26" s="37" t="s">
        <v>50</v>
      </c>
      <c r="H26" s="37" t="s">
        <v>46</v>
      </c>
      <c r="I26" s="37">
        <v>1200</v>
      </c>
      <c r="J26" s="37">
        <v>2</v>
      </c>
      <c r="K26" s="37">
        <v>3</v>
      </c>
      <c r="L26" s="37">
        <v>480</v>
      </c>
      <c r="T26" s="11"/>
    </row>
    <row r="27" spans="3:20" ht="18" customHeight="1">
      <c r="D27" s="30" t="s">
        <v>20</v>
      </c>
      <c r="E27" s="37" t="s">
        <v>45</v>
      </c>
      <c r="F27" s="37" t="s">
        <v>47</v>
      </c>
      <c r="G27" s="37" t="s">
        <v>50</v>
      </c>
      <c r="H27" s="37" t="s">
        <v>51</v>
      </c>
      <c r="I27" s="37">
        <v>1500</v>
      </c>
      <c r="J27" s="37">
        <v>0</v>
      </c>
      <c r="K27" s="37">
        <v>2</v>
      </c>
      <c r="L27" s="37">
        <v>410</v>
      </c>
      <c r="N27" s="66" t="s">
        <v>163</v>
      </c>
      <c r="O27" s="66"/>
      <c r="P27" s="66"/>
      <c r="Q27" s="66"/>
      <c r="R27" s="66"/>
      <c r="S27" s="66"/>
      <c r="T27" s="11"/>
    </row>
    <row r="28" spans="3:20" ht="18" customHeight="1" thickBot="1">
      <c r="D28" s="30" t="s">
        <v>21</v>
      </c>
      <c r="E28" s="37" t="s">
        <v>44</v>
      </c>
      <c r="F28" s="37" t="s">
        <v>49</v>
      </c>
      <c r="G28" s="37" t="s">
        <v>47</v>
      </c>
      <c r="H28" s="37" t="s">
        <v>46</v>
      </c>
      <c r="I28" s="37">
        <v>1200</v>
      </c>
      <c r="J28" s="37">
        <v>1</v>
      </c>
      <c r="K28" s="37">
        <v>4</v>
      </c>
      <c r="L28" s="37">
        <v>450</v>
      </c>
      <c r="N28" s="67">
        <f>LARGE(L21:L52,3)</f>
        <v>480</v>
      </c>
      <c r="O28" s="68"/>
      <c r="P28" s="68"/>
      <c r="Q28" s="68"/>
      <c r="R28" s="68"/>
      <c r="S28" s="69"/>
      <c r="T28" s="11"/>
    </row>
    <row r="29" spans="3:20">
      <c r="D29" s="30" t="s">
        <v>22</v>
      </c>
      <c r="E29" s="37" t="s">
        <v>45</v>
      </c>
      <c r="F29" s="37" t="s">
        <v>48</v>
      </c>
      <c r="G29" s="37" t="s">
        <v>47</v>
      </c>
      <c r="H29" s="37" t="s">
        <v>51</v>
      </c>
      <c r="I29" s="37">
        <v>1500</v>
      </c>
      <c r="J29" s="37">
        <v>1</v>
      </c>
      <c r="K29" s="37">
        <v>8</v>
      </c>
      <c r="L29" s="37">
        <v>320</v>
      </c>
    </row>
    <row r="30" spans="3:20" ht="15.95" customHeight="1">
      <c r="D30" s="30" t="s">
        <v>23</v>
      </c>
      <c r="E30" s="37" t="s">
        <v>46</v>
      </c>
      <c r="F30" s="37" t="s">
        <v>49</v>
      </c>
      <c r="G30" s="37" t="s">
        <v>47</v>
      </c>
      <c r="H30" s="37" t="s">
        <v>46</v>
      </c>
      <c r="I30" s="37">
        <v>2500</v>
      </c>
      <c r="J30" s="37">
        <v>0</v>
      </c>
      <c r="K30" s="37">
        <v>1</v>
      </c>
      <c r="L30" s="37">
        <v>150</v>
      </c>
      <c r="N30" s="66" t="s">
        <v>165</v>
      </c>
      <c r="O30" s="66"/>
      <c r="P30" s="66"/>
      <c r="Q30" s="66"/>
      <c r="R30" s="66"/>
      <c r="S30" s="66"/>
    </row>
    <row r="31" spans="3:20" ht="18" thickBot="1">
      <c r="D31" s="30" t="s">
        <v>24</v>
      </c>
      <c r="E31" s="37" t="s">
        <v>44</v>
      </c>
      <c r="F31" s="37" t="s">
        <v>47</v>
      </c>
      <c r="G31" s="37" t="s">
        <v>50</v>
      </c>
      <c r="H31" s="37" t="s">
        <v>51</v>
      </c>
      <c r="I31" s="37">
        <v>3000</v>
      </c>
      <c r="J31" s="37">
        <v>1</v>
      </c>
      <c r="K31" s="37">
        <v>0</v>
      </c>
      <c r="L31" s="37">
        <v>250</v>
      </c>
      <c r="N31" s="67">
        <f>LARGE(L21:L52,5)</f>
        <v>480</v>
      </c>
      <c r="O31" s="68"/>
      <c r="P31" s="68"/>
      <c r="Q31" s="68"/>
      <c r="R31" s="68"/>
      <c r="S31" s="69"/>
    </row>
    <row r="32" spans="3:20">
      <c r="D32" s="30" t="s">
        <v>25</v>
      </c>
      <c r="E32" s="37" t="s">
        <v>44</v>
      </c>
      <c r="F32" s="37" t="s">
        <v>48</v>
      </c>
      <c r="G32" s="37" t="s">
        <v>50</v>
      </c>
      <c r="H32" s="37" t="s">
        <v>51</v>
      </c>
      <c r="I32" s="37">
        <v>1500</v>
      </c>
      <c r="J32" s="37">
        <v>0</v>
      </c>
      <c r="K32" s="37">
        <v>0</v>
      </c>
      <c r="L32" s="37">
        <v>320</v>
      </c>
    </row>
    <row r="33" spans="4:19" ht="15.95" customHeight="1">
      <c r="D33" s="30" t="s">
        <v>26</v>
      </c>
      <c r="E33" s="37" t="s">
        <v>45</v>
      </c>
      <c r="F33" s="37" t="s">
        <v>47</v>
      </c>
      <c r="G33" s="37" t="s">
        <v>47</v>
      </c>
      <c r="H33" s="37" t="s">
        <v>51</v>
      </c>
      <c r="I33" s="37">
        <v>1500</v>
      </c>
      <c r="J33" s="37">
        <v>0</v>
      </c>
      <c r="K33" s="37">
        <v>2</v>
      </c>
      <c r="L33" s="37">
        <v>420</v>
      </c>
      <c r="N33" s="66" t="s">
        <v>164</v>
      </c>
      <c r="O33" s="66"/>
      <c r="P33" s="66"/>
      <c r="Q33" s="66"/>
      <c r="R33" s="66"/>
      <c r="S33" s="66"/>
    </row>
    <row r="34" spans="4:19" ht="18" thickBot="1">
      <c r="D34" s="30" t="s">
        <v>27</v>
      </c>
      <c r="E34" s="37" t="s">
        <v>46</v>
      </c>
      <c r="F34" s="37" t="s">
        <v>48</v>
      </c>
      <c r="G34" s="37" t="s">
        <v>50</v>
      </c>
      <c r="H34" s="37" t="s">
        <v>46</v>
      </c>
      <c r="I34" s="37">
        <v>2000</v>
      </c>
      <c r="J34" s="37">
        <v>0</v>
      </c>
      <c r="K34" s="37">
        <v>0</v>
      </c>
      <c r="L34" s="37">
        <v>180</v>
      </c>
      <c r="N34" s="67">
        <f>LARGE(L21:L52,6)</f>
        <v>480</v>
      </c>
      <c r="O34" s="68"/>
      <c r="P34" s="68"/>
      <c r="Q34" s="68"/>
      <c r="R34" s="68"/>
      <c r="S34" s="69"/>
    </row>
    <row r="35" spans="4:19">
      <c r="D35" s="30" t="s">
        <v>28</v>
      </c>
      <c r="E35" s="37" t="s">
        <v>46</v>
      </c>
      <c r="F35" s="37" t="s">
        <v>47</v>
      </c>
      <c r="G35" s="37" t="s">
        <v>50</v>
      </c>
      <c r="H35" s="37" t="s">
        <v>46</v>
      </c>
      <c r="I35" s="37">
        <v>1800</v>
      </c>
      <c r="J35" s="37">
        <v>0</v>
      </c>
      <c r="K35" s="37">
        <v>1</v>
      </c>
      <c r="L35" s="37">
        <v>430</v>
      </c>
    </row>
    <row r="36" spans="4:19">
      <c r="D36" s="30" t="s">
        <v>29</v>
      </c>
      <c r="E36" s="37" t="s">
        <v>46</v>
      </c>
      <c r="F36" s="37" t="s">
        <v>47</v>
      </c>
      <c r="G36" s="37" t="s">
        <v>47</v>
      </c>
      <c r="H36" s="37" t="s">
        <v>51</v>
      </c>
      <c r="I36" s="37">
        <v>1800</v>
      </c>
      <c r="J36" s="37">
        <v>0</v>
      </c>
      <c r="K36" s="37">
        <v>0</v>
      </c>
      <c r="L36" s="37">
        <v>180</v>
      </c>
    </row>
    <row r="37" spans="4:19">
      <c r="D37" s="30" t="s">
        <v>30</v>
      </c>
      <c r="E37" s="37" t="s">
        <v>46</v>
      </c>
      <c r="F37" s="37" t="s">
        <v>48</v>
      </c>
      <c r="G37" s="37" t="s">
        <v>50</v>
      </c>
      <c r="H37" s="37" t="s">
        <v>46</v>
      </c>
      <c r="I37" s="37">
        <v>1500</v>
      </c>
      <c r="J37" s="37">
        <v>2</v>
      </c>
      <c r="K37" s="37">
        <v>5</v>
      </c>
      <c r="L37" s="37">
        <v>250</v>
      </c>
    </row>
    <row r="38" spans="4:19">
      <c r="D38" s="30" t="s">
        <v>31</v>
      </c>
      <c r="E38" s="37" t="s">
        <v>44</v>
      </c>
      <c r="F38" s="37" t="s">
        <v>48</v>
      </c>
      <c r="G38" s="37" t="s">
        <v>50</v>
      </c>
      <c r="H38" s="37" t="s">
        <v>51</v>
      </c>
      <c r="I38" s="37">
        <v>2000</v>
      </c>
      <c r="J38" s="37">
        <v>1</v>
      </c>
      <c r="K38" s="37">
        <v>10</v>
      </c>
      <c r="L38" s="37">
        <v>350</v>
      </c>
    </row>
    <row r="39" spans="4:19">
      <c r="D39" s="30" t="s">
        <v>32</v>
      </c>
      <c r="E39" s="37" t="s">
        <v>45</v>
      </c>
      <c r="F39" s="37" t="s">
        <v>49</v>
      </c>
      <c r="G39" s="37" t="s">
        <v>47</v>
      </c>
      <c r="H39" s="37" t="s">
        <v>46</v>
      </c>
      <c r="I39" s="37">
        <v>2000</v>
      </c>
      <c r="J39" s="37">
        <v>2</v>
      </c>
      <c r="K39" s="37">
        <v>0</v>
      </c>
      <c r="L39" s="37">
        <v>420</v>
      </c>
    </row>
    <row r="40" spans="4:19">
      <c r="D40" s="30" t="s">
        <v>33</v>
      </c>
      <c r="E40" s="37" t="s">
        <v>44</v>
      </c>
      <c r="F40" s="37" t="s">
        <v>47</v>
      </c>
      <c r="G40" s="37" t="s">
        <v>47</v>
      </c>
      <c r="H40" s="37" t="s">
        <v>46</v>
      </c>
      <c r="I40" s="37">
        <v>1500</v>
      </c>
      <c r="J40" s="37">
        <v>5</v>
      </c>
      <c r="K40" s="37">
        <v>2</v>
      </c>
      <c r="L40" s="37">
        <v>510</v>
      </c>
    </row>
    <row r="41" spans="4:19">
      <c r="D41" s="30" t="s">
        <v>34</v>
      </c>
      <c r="E41" s="37" t="s">
        <v>45</v>
      </c>
      <c r="F41" s="37" t="s">
        <v>49</v>
      </c>
      <c r="G41" s="37" t="s">
        <v>50</v>
      </c>
      <c r="H41" s="37" t="s">
        <v>51</v>
      </c>
      <c r="I41" s="37">
        <v>1500</v>
      </c>
      <c r="J41" s="37">
        <v>3</v>
      </c>
      <c r="K41" s="37">
        <v>1</v>
      </c>
      <c r="L41" s="37">
        <v>430</v>
      </c>
    </row>
    <row r="42" spans="4:19">
      <c r="D42" s="30" t="s">
        <v>35</v>
      </c>
      <c r="E42" s="37" t="s">
        <v>45</v>
      </c>
      <c r="F42" s="37" t="s">
        <v>48</v>
      </c>
      <c r="G42" s="37" t="s">
        <v>50</v>
      </c>
      <c r="H42" s="37" t="s">
        <v>51</v>
      </c>
      <c r="I42" s="37">
        <v>2100</v>
      </c>
      <c r="J42" s="37">
        <v>2</v>
      </c>
      <c r="K42" s="37">
        <v>3</v>
      </c>
      <c r="L42" s="37">
        <v>510</v>
      </c>
    </row>
    <row r="43" spans="4:19">
      <c r="D43" s="30" t="s">
        <v>36</v>
      </c>
      <c r="E43" s="37" t="s">
        <v>44</v>
      </c>
      <c r="F43" s="37" t="s">
        <v>49</v>
      </c>
      <c r="G43" s="37" t="s">
        <v>47</v>
      </c>
      <c r="H43" s="37" t="s">
        <v>46</v>
      </c>
      <c r="I43" s="37">
        <v>1400</v>
      </c>
      <c r="J43" s="37">
        <v>0</v>
      </c>
      <c r="K43" s="37">
        <v>0</v>
      </c>
      <c r="L43" s="37">
        <v>400</v>
      </c>
    </row>
    <row r="44" spans="4:19">
      <c r="D44" s="30" t="s">
        <v>37</v>
      </c>
      <c r="E44" s="37" t="s">
        <v>44</v>
      </c>
      <c r="F44" s="37" t="s">
        <v>47</v>
      </c>
      <c r="G44" s="37" t="s">
        <v>50</v>
      </c>
      <c r="H44" s="37" t="s">
        <v>51</v>
      </c>
      <c r="I44" s="37">
        <v>1300</v>
      </c>
      <c r="J44" s="37">
        <v>1</v>
      </c>
      <c r="K44" s="37">
        <v>0</v>
      </c>
      <c r="L44" s="37">
        <v>320</v>
      </c>
    </row>
    <row r="45" spans="4:19">
      <c r="D45" s="30" t="s">
        <v>38</v>
      </c>
      <c r="E45" s="37" t="s">
        <v>45</v>
      </c>
      <c r="F45" s="37" t="s">
        <v>49</v>
      </c>
      <c r="G45" s="37" t="s">
        <v>47</v>
      </c>
      <c r="H45" s="37" t="s">
        <v>46</v>
      </c>
      <c r="I45" s="37">
        <v>2500</v>
      </c>
      <c r="J45" s="37">
        <v>0</v>
      </c>
      <c r="K45" s="37">
        <v>1</v>
      </c>
      <c r="L45" s="37">
        <v>180</v>
      </c>
    </row>
    <row r="46" spans="4:19">
      <c r="D46" s="30" t="s">
        <v>39</v>
      </c>
      <c r="E46" s="37" t="s">
        <v>45</v>
      </c>
      <c r="F46" s="37" t="s">
        <v>48</v>
      </c>
      <c r="G46" s="37" t="s">
        <v>50</v>
      </c>
      <c r="H46" s="37" t="s">
        <v>46</v>
      </c>
      <c r="I46" s="37">
        <v>3000</v>
      </c>
      <c r="J46" s="37">
        <v>2</v>
      </c>
      <c r="K46" s="37">
        <v>0</v>
      </c>
      <c r="L46" s="37">
        <v>310</v>
      </c>
    </row>
    <row r="47" spans="4:19">
      <c r="D47" s="30" t="s">
        <v>40</v>
      </c>
      <c r="E47" s="37" t="s">
        <v>44</v>
      </c>
      <c r="F47" s="37" t="s">
        <v>48</v>
      </c>
      <c r="G47" s="37" t="s">
        <v>50</v>
      </c>
      <c r="H47" s="37" t="s">
        <v>51</v>
      </c>
      <c r="I47" s="37">
        <v>3000</v>
      </c>
      <c r="J47" s="37">
        <v>5</v>
      </c>
      <c r="K47" s="37">
        <v>3</v>
      </c>
      <c r="L47" s="37">
        <v>480</v>
      </c>
    </row>
    <row r="48" spans="4:19">
      <c r="D48" s="30" t="s">
        <v>41</v>
      </c>
      <c r="E48" s="37" t="s">
        <v>44</v>
      </c>
      <c r="F48" s="37" t="s">
        <v>47</v>
      </c>
      <c r="G48" s="37" t="s">
        <v>47</v>
      </c>
      <c r="H48" s="37" t="s">
        <v>51</v>
      </c>
      <c r="I48" s="37">
        <v>1500</v>
      </c>
      <c r="J48" s="37">
        <v>1</v>
      </c>
      <c r="K48" s="37">
        <v>5</v>
      </c>
      <c r="L48" s="37">
        <v>150</v>
      </c>
    </row>
    <row r="49" spans="4:12">
      <c r="D49" s="30" t="s">
        <v>42</v>
      </c>
      <c r="E49" s="37" t="s">
        <v>44</v>
      </c>
      <c r="F49" s="37" t="s">
        <v>48</v>
      </c>
      <c r="G49" s="37" t="s">
        <v>50</v>
      </c>
      <c r="H49" s="37" t="s">
        <v>46</v>
      </c>
      <c r="I49" s="37">
        <v>1200</v>
      </c>
      <c r="J49" s="37">
        <v>0</v>
      </c>
      <c r="K49" s="37">
        <v>8</v>
      </c>
      <c r="L49" s="37">
        <v>180</v>
      </c>
    </row>
    <row r="50" spans="4:12">
      <c r="D50" s="30" t="s">
        <v>43</v>
      </c>
      <c r="E50" s="37" t="s">
        <v>44</v>
      </c>
      <c r="F50" s="37" t="s">
        <v>49</v>
      </c>
      <c r="G50" s="37" t="s">
        <v>47</v>
      </c>
      <c r="H50" s="37" t="s">
        <v>51</v>
      </c>
      <c r="I50" s="37">
        <v>1500</v>
      </c>
      <c r="J50" s="37">
        <v>3</v>
      </c>
      <c r="K50" s="37">
        <v>2</v>
      </c>
      <c r="L50" s="37">
        <v>350</v>
      </c>
    </row>
    <row r="51" spans="4:12">
      <c r="D51" s="30" t="s">
        <v>14</v>
      </c>
      <c r="E51" s="37" t="s">
        <v>46</v>
      </c>
      <c r="F51" s="37" t="s">
        <v>49</v>
      </c>
      <c r="G51" s="37" t="s">
        <v>50</v>
      </c>
      <c r="H51" s="37" t="s">
        <v>46</v>
      </c>
      <c r="I51" s="37">
        <v>2100</v>
      </c>
      <c r="J51" s="37">
        <v>5</v>
      </c>
      <c r="K51" s="37">
        <v>0</v>
      </c>
      <c r="L51" s="37">
        <v>410</v>
      </c>
    </row>
    <row r="52" spans="4:12">
      <c r="D52" s="30" t="s">
        <v>15</v>
      </c>
      <c r="E52" s="37" t="s">
        <v>46</v>
      </c>
      <c r="F52" s="37" t="s">
        <v>48</v>
      </c>
      <c r="G52" s="37" t="s">
        <v>47</v>
      </c>
      <c r="H52" s="37" t="s">
        <v>51</v>
      </c>
      <c r="I52" s="37">
        <v>3100</v>
      </c>
      <c r="J52" s="37">
        <v>2</v>
      </c>
      <c r="K52" s="37">
        <v>5</v>
      </c>
      <c r="L52" s="37">
        <v>254</v>
      </c>
    </row>
    <row r="53" spans="4:12">
      <c r="D53" s="7"/>
      <c r="E53" s="7"/>
      <c r="I53" s="7"/>
      <c r="J53" s="7"/>
    </row>
    <row r="59" spans="4:12" ht="17.25">
      <c r="D59" s="5"/>
    </row>
  </sheetData>
  <mergeCells count="10">
    <mergeCell ref="N33:S33"/>
    <mergeCell ref="N34:S34"/>
    <mergeCell ref="N22:S22"/>
    <mergeCell ref="N25:S25"/>
    <mergeCell ref="N21:S21"/>
    <mergeCell ref="N24:S24"/>
    <mergeCell ref="N27:S27"/>
    <mergeCell ref="N28:S28"/>
    <mergeCell ref="N30:S30"/>
    <mergeCell ref="N31:S31"/>
  </mergeCells>
  <conditionalFormatting sqref="D9">
    <cfRule type="duplicateValues" dxfId="23" priority="2"/>
    <cfRule type="duplicateValues" dxfId="22" priority="3"/>
    <cfRule type="duplicateValues" dxfId="21" priority="4"/>
    <cfRule type="duplicateValues" dxfId="20" priority="5"/>
    <cfRule type="duplicateValues" dxfId="19" priority="6"/>
  </conditionalFormatting>
  <conditionalFormatting sqref="D9">
    <cfRule type="duplicateValues" dxfId="18" priority="1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8:T59"/>
  <sheetViews>
    <sheetView showGridLines="0" tabSelected="1" topLeftCell="E10" zoomScale="70" zoomScaleNormal="70" workbookViewId="0">
      <selection activeCell="N25" sqref="N25:S25"/>
    </sheetView>
  </sheetViews>
  <sheetFormatPr baseColWidth="10" defaultRowHeight="15"/>
  <cols>
    <col min="1" max="1" width="8.7109375" style="23" customWidth="1"/>
    <col min="2" max="2" width="3.42578125" customWidth="1"/>
    <col min="4" max="4" width="30.140625" customWidth="1"/>
    <col min="5" max="5" width="10.28515625" bestFit="1" customWidth="1"/>
    <col min="6" max="7" width="9.140625" customWidth="1"/>
    <col min="8" max="8" width="10.42578125" bestFit="1" customWidth="1"/>
    <col min="9" max="10" width="9.140625" customWidth="1"/>
    <col min="11" max="11" width="9" bestFit="1" customWidth="1"/>
    <col min="12" max="12" width="12.28515625" bestFit="1" customWidth="1"/>
    <col min="13" max="13" width="5" customWidth="1"/>
    <col min="19" max="19" width="15.85546875" customWidth="1"/>
  </cols>
  <sheetData>
    <row r="8" spans="3:16">
      <c r="K8" s="8"/>
    </row>
    <row r="9" spans="3:16" ht="37.5" thickBot="1">
      <c r="C9" s="25" t="s">
        <v>58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3:16" ht="15.75" thickTop="1">
      <c r="C10" s="1"/>
    </row>
    <row r="11" spans="3:16" ht="20.25">
      <c r="G11" s="27" t="s">
        <v>201</v>
      </c>
    </row>
    <row r="13" spans="3:16" ht="15.75">
      <c r="C13" s="28" t="s">
        <v>0</v>
      </c>
      <c r="D13" s="34" t="s">
        <v>198</v>
      </c>
    </row>
    <row r="14" spans="3:16" ht="15.75">
      <c r="C14" s="28"/>
    </row>
    <row r="15" spans="3:16" ht="17.25">
      <c r="C15" s="28" t="s">
        <v>1</v>
      </c>
      <c r="D15" s="6"/>
    </row>
    <row r="16" spans="3:16" ht="15.75">
      <c r="C16" s="28"/>
    </row>
    <row r="17" spans="3:20" ht="15.75">
      <c r="C17" s="28" t="s">
        <v>2</v>
      </c>
    </row>
    <row r="18" spans="3:20" ht="15.75">
      <c r="C18" s="28"/>
      <c r="D18" s="38" t="s">
        <v>4</v>
      </c>
      <c r="E18" s="35"/>
      <c r="F18" s="35"/>
    </row>
    <row r="19" spans="3:20" ht="15.75">
      <c r="D19" s="38" t="s">
        <v>5</v>
      </c>
      <c r="E19" s="35"/>
      <c r="F19" s="35"/>
    </row>
    <row r="20" spans="3:20" ht="30" customHeight="1">
      <c r="D20" s="33" t="s">
        <v>6</v>
      </c>
      <c r="E20" s="33" t="s">
        <v>53</v>
      </c>
      <c r="F20" s="33" t="s">
        <v>7</v>
      </c>
      <c r="G20" s="33" t="s">
        <v>8</v>
      </c>
      <c r="H20" s="33" t="s">
        <v>9</v>
      </c>
      <c r="I20" s="33" t="s">
        <v>10</v>
      </c>
      <c r="J20" s="33" t="s">
        <v>11</v>
      </c>
      <c r="K20" s="33" t="s">
        <v>12</v>
      </c>
      <c r="L20" s="33" t="s">
        <v>13</v>
      </c>
      <c r="T20" s="10"/>
    </row>
    <row r="21" spans="3:20" ht="15.75">
      <c r="D21" s="30" t="s">
        <v>52</v>
      </c>
      <c r="E21" s="37" t="s">
        <v>44</v>
      </c>
      <c r="F21" s="37" t="s">
        <v>47</v>
      </c>
      <c r="G21" s="37" t="s">
        <v>47</v>
      </c>
      <c r="H21" s="37" t="s">
        <v>51</v>
      </c>
      <c r="I21" s="37">
        <v>1300</v>
      </c>
      <c r="J21" s="37">
        <v>0</v>
      </c>
      <c r="K21" s="37">
        <v>0</v>
      </c>
      <c r="L21" s="37">
        <v>450</v>
      </c>
      <c r="N21" s="58" t="s">
        <v>166</v>
      </c>
      <c r="O21" s="58"/>
      <c r="P21" s="58"/>
      <c r="Q21" s="58"/>
      <c r="R21" s="58"/>
      <c r="S21" s="58"/>
      <c r="T21" s="11"/>
    </row>
    <row r="22" spans="3:20" ht="18" thickBot="1">
      <c r="D22" s="30" t="s">
        <v>15</v>
      </c>
      <c r="E22" s="37" t="s">
        <v>45</v>
      </c>
      <c r="F22" s="37" t="s">
        <v>47</v>
      </c>
      <c r="G22" s="37" t="s">
        <v>50</v>
      </c>
      <c r="H22" s="37" t="s">
        <v>46</v>
      </c>
      <c r="I22" s="37">
        <v>1500</v>
      </c>
      <c r="J22" s="37">
        <v>1</v>
      </c>
      <c r="K22" s="37">
        <v>1</v>
      </c>
      <c r="L22" s="37">
        <v>480</v>
      </c>
      <c r="N22" s="67">
        <f>SMALL(I21:I52,3)</f>
        <v>1200</v>
      </c>
      <c r="O22" s="68"/>
      <c r="P22" s="68"/>
      <c r="Q22" s="68"/>
      <c r="R22" s="68"/>
      <c r="S22" s="69"/>
      <c r="T22" s="11"/>
    </row>
    <row r="23" spans="3:20" ht="15.75" customHeight="1">
      <c r="D23" s="30" t="s">
        <v>16</v>
      </c>
      <c r="E23" s="37" t="s">
        <v>44</v>
      </c>
      <c r="F23" s="37" t="s">
        <v>47</v>
      </c>
      <c r="G23" s="37" t="s">
        <v>50</v>
      </c>
      <c r="H23" s="37" t="s">
        <v>51</v>
      </c>
      <c r="I23" s="37">
        <v>2000</v>
      </c>
      <c r="J23" s="37">
        <v>1</v>
      </c>
      <c r="K23" s="37">
        <v>0</v>
      </c>
      <c r="L23" s="37">
        <v>250</v>
      </c>
      <c r="T23" s="11"/>
    </row>
    <row r="24" spans="3:20" ht="18" customHeight="1">
      <c r="D24" s="30" t="s">
        <v>17</v>
      </c>
      <c r="E24" s="37" t="s">
        <v>45</v>
      </c>
      <c r="F24" s="37" t="s">
        <v>48</v>
      </c>
      <c r="G24" s="37" t="s">
        <v>50</v>
      </c>
      <c r="H24" s="37" t="s">
        <v>46</v>
      </c>
      <c r="I24" s="37">
        <v>1500</v>
      </c>
      <c r="J24" s="37">
        <v>2</v>
      </c>
      <c r="K24" s="37">
        <v>3</v>
      </c>
      <c r="L24" s="37">
        <v>480</v>
      </c>
      <c r="N24" s="58" t="s">
        <v>167</v>
      </c>
      <c r="O24" s="58"/>
      <c r="P24" s="58"/>
      <c r="Q24" s="58"/>
      <c r="R24" s="58"/>
      <c r="S24" s="58"/>
      <c r="T24" s="11"/>
    </row>
    <row r="25" spans="3:20" ht="18" thickBot="1">
      <c r="D25" s="30" t="s">
        <v>18</v>
      </c>
      <c r="E25" s="37" t="s">
        <v>44</v>
      </c>
      <c r="F25" s="37" t="s">
        <v>47</v>
      </c>
      <c r="G25" s="37" t="s">
        <v>50</v>
      </c>
      <c r="H25" s="37" t="s">
        <v>51</v>
      </c>
      <c r="I25" s="37">
        <v>2100</v>
      </c>
      <c r="J25" s="37">
        <v>1</v>
      </c>
      <c r="K25" s="37">
        <v>2</v>
      </c>
      <c r="L25" s="37">
        <v>420</v>
      </c>
      <c r="N25" s="67">
        <f>SMALL(I21:I52,6)</f>
        <v>1400</v>
      </c>
      <c r="O25" s="68"/>
      <c r="P25" s="68"/>
      <c r="Q25" s="68"/>
      <c r="R25" s="68"/>
      <c r="S25" s="69"/>
      <c r="T25" s="11"/>
    </row>
    <row r="26" spans="3:20" ht="15.75">
      <c r="D26" s="30" t="s">
        <v>19</v>
      </c>
      <c r="E26" s="37" t="s">
        <v>46</v>
      </c>
      <c r="F26" s="37" t="s">
        <v>48</v>
      </c>
      <c r="G26" s="37" t="s">
        <v>50</v>
      </c>
      <c r="H26" s="37" t="s">
        <v>46</v>
      </c>
      <c r="I26" s="37">
        <v>1200</v>
      </c>
      <c r="J26" s="37">
        <v>2</v>
      </c>
      <c r="K26" s="37">
        <v>3</v>
      </c>
      <c r="L26" s="37">
        <v>480</v>
      </c>
      <c r="T26" s="11"/>
    </row>
    <row r="27" spans="3:20" ht="18" customHeight="1">
      <c r="D27" s="30" t="s">
        <v>20</v>
      </c>
      <c r="E27" s="37" t="s">
        <v>45</v>
      </c>
      <c r="F27" s="37" t="s">
        <v>47</v>
      </c>
      <c r="G27" s="37" t="s">
        <v>50</v>
      </c>
      <c r="H27" s="37" t="s">
        <v>51</v>
      </c>
      <c r="I27" s="37">
        <v>1500</v>
      </c>
      <c r="J27" s="37">
        <v>0</v>
      </c>
      <c r="K27" s="37">
        <v>2</v>
      </c>
      <c r="L27" s="37">
        <v>410</v>
      </c>
      <c r="N27" s="58" t="s">
        <v>168</v>
      </c>
      <c r="O27" s="58"/>
      <c r="P27" s="58"/>
      <c r="Q27" s="58"/>
      <c r="R27" s="58"/>
      <c r="S27" s="58"/>
      <c r="T27" s="11"/>
    </row>
    <row r="28" spans="3:20" ht="18" customHeight="1" thickBot="1">
      <c r="D28" s="30" t="s">
        <v>21</v>
      </c>
      <c r="E28" s="37" t="s">
        <v>44</v>
      </c>
      <c r="F28" s="37" t="s">
        <v>49</v>
      </c>
      <c r="G28" s="37" t="s">
        <v>47</v>
      </c>
      <c r="H28" s="37" t="s">
        <v>46</v>
      </c>
      <c r="I28" s="37">
        <v>1200</v>
      </c>
      <c r="J28" s="37">
        <v>1</v>
      </c>
      <c r="K28" s="37">
        <v>4</v>
      </c>
      <c r="L28" s="37">
        <v>450</v>
      </c>
      <c r="N28" s="67">
        <f>SMALL(L21:L52,7)</f>
        <v>250</v>
      </c>
      <c r="O28" s="68"/>
      <c r="P28" s="68"/>
      <c r="Q28" s="68"/>
      <c r="R28" s="68"/>
      <c r="S28" s="69"/>
      <c r="T28" s="11"/>
    </row>
    <row r="29" spans="3:20">
      <c r="D29" s="30" t="s">
        <v>22</v>
      </c>
      <c r="E29" s="37" t="s">
        <v>45</v>
      </c>
      <c r="F29" s="37" t="s">
        <v>48</v>
      </c>
      <c r="G29" s="37" t="s">
        <v>47</v>
      </c>
      <c r="H29" s="37" t="s">
        <v>51</v>
      </c>
      <c r="I29" s="37">
        <v>1500</v>
      </c>
      <c r="J29" s="37">
        <v>1</v>
      </c>
      <c r="K29" s="37">
        <v>8</v>
      </c>
      <c r="L29" s="37">
        <v>320</v>
      </c>
    </row>
    <row r="30" spans="3:20" ht="15.95" customHeight="1">
      <c r="D30" s="30" t="s">
        <v>23</v>
      </c>
      <c r="E30" s="37" t="s">
        <v>46</v>
      </c>
      <c r="F30" s="37" t="s">
        <v>49</v>
      </c>
      <c r="G30" s="37" t="s">
        <v>47</v>
      </c>
      <c r="H30" s="37" t="s">
        <v>46</v>
      </c>
      <c r="I30" s="37">
        <v>2500</v>
      </c>
      <c r="J30" s="37">
        <v>0</v>
      </c>
      <c r="K30" s="37">
        <v>1</v>
      </c>
      <c r="L30" s="37">
        <v>150</v>
      </c>
      <c r="N30" s="58" t="s">
        <v>169</v>
      </c>
      <c r="O30" s="58"/>
      <c r="P30" s="58"/>
      <c r="Q30" s="58"/>
      <c r="R30" s="58"/>
      <c r="S30" s="58"/>
    </row>
    <row r="31" spans="3:20" ht="18" thickBot="1">
      <c r="D31" s="30" t="s">
        <v>24</v>
      </c>
      <c r="E31" s="37" t="s">
        <v>44</v>
      </c>
      <c r="F31" s="37" t="s">
        <v>47</v>
      </c>
      <c r="G31" s="37" t="s">
        <v>50</v>
      </c>
      <c r="H31" s="37" t="s">
        <v>51</v>
      </c>
      <c r="I31" s="37">
        <v>3000</v>
      </c>
      <c r="J31" s="37">
        <v>1</v>
      </c>
      <c r="K31" s="37">
        <v>0</v>
      </c>
      <c r="L31" s="37">
        <v>250</v>
      </c>
      <c r="N31" s="67">
        <f>SMALL(L21:L52,3)</f>
        <v>180</v>
      </c>
      <c r="O31" s="68"/>
      <c r="P31" s="68"/>
      <c r="Q31" s="68"/>
      <c r="R31" s="68"/>
      <c r="S31" s="69"/>
    </row>
    <row r="32" spans="3:20">
      <c r="D32" s="30" t="s">
        <v>25</v>
      </c>
      <c r="E32" s="37" t="s">
        <v>44</v>
      </c>
      <c r="F32" s="37" t="s">
        <v>48</v>
      </c>
      <c r="G32" s="37" t="s">
        <v>50</v>
      </c>
      <c r="H32" s="37" t="s">
        <v>51</v>
      </c>
      <c r="I32" s="37">
        <v>1500</v>
      </c>
      <c r="J32" s="37">
        <v>0</v>
      </c>
      <c r="K32" s="37">
        <v>0</v>
      </c>
      <c r="L32" s="37">
        <v>320</v>
      </c>
    </row>
    <row r="33" spans="4:19" ht="15.95" customHeight="1">
      <c r="D33" s="30" t="s">
        <v>26</v>
      </c>
      <c r="E33" s="37" t="s">
        <v>45</v>
      </c>
      <c r="F33" s="37" t="s">
        <v>47</v>
      </c>
      <c r="G33" s="37" t="s">
        <v>47</v>
      </c>
      <c r="H33" s="37" t="s">
        <v>51</v>
      </c>
      <c r="I33" s="37">
        <v>1500</v>
      </c>
      <c r="J33" s="37">
        <v>0</v>
      </c>
      <c r="K33" s="37">
        <v>2</v>
      </c>
      <c r="L33" s="37">
        <v>420</v>
      </c>
      <c r="N33" s="58" t="s">
        <v>170</v>
      </c>
      <c r="O33" s="58"/>
      <c r="P33" s="58"/>
      <c r="Q33" s="58"/>
      <c r="R33" s="58"/>
      <c r="S33" s="58"/>
    </row>
    <row r="34" spans="4:19" ht="18" thickBot="1">
      <c r="D34" s="30" t="s">
        <v>27</v>
      </c>
      <c r="E34" s="37" t="s">
        <v>46</v>
      </c>
      <c r="F34" s="37" t="s">
        <v>48</v>
      </c>
      <c r="G34" s="37" t="s">
        <v>50</v>
      </c>
      <c r="H34" s="37" t="s">
        <v>46</v>
      </c>
      <c r="I34" s="37">
        <v>2000</v>
      </c>
      <c r="J34" s="37">
        <v>0</v>
      </c>
      <c r="K34" s="37">
        <v>0</v>
      </c>
      <c r="L34" s="37">
        <v>180</v>
      </c>
      <c r="N34" s="67">
        <f>SMALL(L21:L52,9)</f>
        <v>250</v>
      </c>
      <c r="O34" s="68"/>
      <c r="P34" s="68"/>
      <c r="Q34" s="68"/>
      <c r="R34" s="68"/>
      <c r="S34" s="69"/>
    </row>
    <row r="35" spans="4:19">
      <c r="D35" s="30" t="s">
        <v>28</v>
      </c>
      <c r="E35" s="37" t="s">
        <v>46</v>
      </c>
      <c r="F35" s="37" t="s">
        <v>47</v>
      </c>
      <c r="G35" s="37" t="s">
        <v>50</v>
      </c>
      <c r="H35" s="37" t="s">
        <v>46</v>
      </c>
      <c r="I35" s="37">
        <v>1800</v>
      </c>
      <c r="J35" s="37">
        <v>0</v>
      </c>
      <c r="K35" s="37">
        <v>1</v>
      </c>
      <c r="L35" s="37">
        <v>430</v>
      </c>
    </row>
    <row r="36" spans="4:19">
      <c r="D36" s="30" t="s">
        <v>29</v>
      </c>
      <c r="E36" s="37" t="s">
        <v>46</v>
      </c>
      <c r="F36" s="37" t="s">
        <v>47</v>
      </c>
      <c r="G36" s="37" t="s">
        <v>47</v>
      </c>
      <c r="H36" s="37" t="s">
        <v>51</v>
      </c>
      <c r="I36" s="37">
        <v>1800</v>
      </c>
      <c r="J36" s="37">
        <v>0</v>
      </c>
      <c r="K36" s="37">
        <v>0</v>
      </c>
      <c r="L36" s="37">
        <v>180</v>
      </c>
    </row>
    <row r="37" spans="4:19">
      <c r="D37" s="30" t="s">
        <v>30</v>
      </c>
      <c r="E37" s="37" t="s">
        <v>46</v>
      </c>
      <c r="F37" s="37" t="s">
        <v>48</v>
      </c>
      <c r="G37" s="37" t="s">
        <v>50</v>
      </c>
      <c r="H37" s="37" t="s">
        <v>46</v>
      </c>
      <c r="I37" s="37">
        <v>1500</v>
      </c>
      <c r="J37" s="37">
        <v>2</v>
      </c>
      <c r="K37" s="37">
        <v>5</v>
      </c>
      <c r="L37" s="37">
        <v>250</v>
      </c>
    </row>
    <row r="38" spans="4:19">
      <c r="D38" s="30" t="s">
        <v>31</v>
      </c>
      <c r="E38" s="37" t="s">
        <v>44</v>
      </c>
      <c r="F38" s="37" t="s">
        <v>48</v>
      </c>
      <c r="G38" s="37" t="s">
        <v>50</v>
      </c>
      <c r="H38" s="37" t="s">
        <v>51</v>
      </c>
      <c r="I38" s="37">
        <v>2000</v>
      </c>
      <c r="J38" s="37">
        <v>1</v>
      </c>
      <c r="K38" s="37">
        <v>10</v>
      </c>
      <c r="L38" s="37">
        <v>350</v>
      </c>
    </row>
    <row r="39" spans="4:19">
      <c r="D39" s="30" t="s">
        <v>32</v>
      </c>
      <c r="E39" s="37" t="s">
        <v>45</v>
      </c>
      <c r="F39" s="37" t="s">
        <v>49</v>
      </c>
      <c r="G39" s="37" t="s">
        <v>47</v>
      </c>
      <c r="H39" s="37" t="s">
        <v>46</v>
      </c>
      <c r="I39" s="37">
        <v>2000</v>
      </c>
      <c r="J39" s="37">
        <v>2</v>
      </c>
      <c r="K39" s="37">
        <v>0</v>
      </c>
      <c r="L39" s="37">
        <v>420</v>
      </c>
    </row>
    <row r="40" spans="4:19">
      <c r="D40" s="30" t="s">
        <v>33</v>
      </c>
      <c r="E40" s="37" t="s">
        <v>44</v>
      </c>
      <c r="F40" s="37" t="s">
        <v>47</v>
      </c>
      <c r="G40" s="37" t="s">
        <v>47</v>
      </c>
      <c r="H40" s="37" t="s">
        <v>46</v>
      </c>
      <c r="I40" s="37">
        <v>1500</v>
      </c>
      <c r="J40" s="37">
        <v>5</v>
      </c>
      <c r="K40" s="37">
        <v>2</v>
      </c>
      <c r="L40" s="37">
        <v>510</v>
      </c>
    </row>
    <row r="41" spans="4:19">
      <c r="D41" s="30" t="s">
        <v>34</v>
      </c>
      <c r="E41" s="37" t="s">
        <v>45</v>
      </c>
      <c r="F41" s="37" t="s">
        <v>49</v>
      </c>
      <c r="G41" s="37" t="s">
        <v>50</v>
      </c>
      <c r="H41" s="37" t="s">
        <v>51</v>
      </c>
      <c r="I41" s="37">
        <v>1500</v>
      </c>
      <c r="J41" s="37">
        <v>3</v>
      </c>
      <c r="K41" s="37">
        <v>1</v>
      </c>
      <c r="L41" s="37">
        <v>430</v>
      </c>
    </row>
    <row r="42" spans="4:19">
      <c r="D42" s="30" t="s">
        <v>35</v>
      </c>
      <c r="E42" s="37" t="s">
        <v>45</v>
      </c>
      <c r="F42" s="37" t="s">
        <v>48</v>
      </c>
      <c r="G42" s="37" t="s">
        <v>50</v>
      </c>
      <c r="H42" s="37" t="s">
        <v>51</v>
      </c>
      <c r="I42" s="37">
        <v>2100</v>
      </c>
      <c r="J42" s="37">
        <v>2</v>
      </c>
      <c r="K42" s="37">
        <v>3</v>
      </c>
      <c r="L42" s="37">
        <v>510</v>
      </c>
    </row>
    <row r="43" spans="4:19">
      <c r="D43" s="30" t="s">
        <v>36</v>
      </c>
      <c r="E43" s="37" t="s">
        <v>44</v>
      </c>
      <c r="F43" s="37" t="s">
        <v>49</v>
      </c>
      <c r="G43" s="37" t="s">
        <v>47</v>
      </c>
      <c r="H43" s="37" t="s">
        <v>46</v>
      </c>
      <c r="I43" s="37">
        <v>1400</v>
      </c>
      <c r="J43" s="37">
        <v>0</v>
      </c>
      <c r="K43" s="37">
        <v>0</v>
      </c>
      <c r="L43" s="37">
        <v>400</v>
      </c>
    </row>
    <row r="44" spans="4:19">
      <c r="D44" s="30" t="s">
        <v>37</v>
      </c>
      <c r="E44" s="37" t="s">
        <v>44</v>
      </c>
      <c r="F44" s="37" t="s">
        <v>47</v>
      </c>
      <c r="G44" s="37" t="s">
        <v>50</v>
      </c>
      <c r="H44" s="37" t="s">
        <v>51</v>
      </c>
      <c r="I44" s="37">
        <v>1300</v>
      </c>
      <c r="J44" s="37">
        <v>1</v>
      </c>
      <c r="K44" s="37">
        <v>0</v>
      </c>
      <c r="L44" s="37">
        <v>320</v>
      </c>
    </row>
    <row r="45" spans="4:19">
      <c r="D45" s="30" t="s">
        <v>38</v>
      </c>
      <c r="E45" s="37" t="s">
        <v>45</v>
      </c>
      <c r="F45" s="37" t="s">
        <v>49</v>
      </c>
      <c r="G45" s="37" t="s">
        <v>47</v>
      </c>
      <c r="H45" s="37" t="s">
        <v>46</v>
      </c>
      <c r="I45" s="37">
        <v>2500</v>
      </c>
      <c r="J45" s="37">
        <v>0</v>
      </c>
      <c r="K45" s="37">
        <v>1</v>
      </c>
      <c r="L45" s="37">
        <v>180</v>
      </c>
    </row>
    <row r="46" spans="4:19">
      <c r="D46" s="30" t="s">
        <v>39</v>
      </c>
      <c r="E46" s="37" t="s">
        <v>45</v>
      </c>
      <c r="F46" s="37" t="s">
        <v>48</v>
      </c>
      <c r="G46" s="37" t="s">
        <v>50</v>
      </c>
      <c r="H46" s="37" t="s">
        <v>46</v>
      </c>
      <c r="I46" s="37">
        <v>3000</v>
      </c>
      <c r="J46" s="37">
        <v>2</v>
      </c>
      <c r="K46" s="37">
        <v>0</v>
      </c>
      <c r="L46" s="37">
        <v>310</v>
      </c>
    </row>
    <row r="47" spans="4:19">
      <c r="D47" s="30" t="s">
        <v>40</v>
      </c>
      <c r="E47" s="37" t="s">
        <v>44</v>
      </c>
      <c r="F47" s="37" t="s">
        <v>48</v>
      </c>
      <c r="G47" s="37" t="s">
        <v>50</v>
      </c>
      <c r="H47" s="37" t="s">
        <v>51</v>
      </c>
      <c r="I47" s="37">
        <v>3000</v>
      </c>
      <c r="J47" s="37">
        <v>5</v>
      </c>
      <c r="K47" s="37">
        <v>3</v>
      </c>
      <c r="L47" s="37">
        <v>480</v>
      </c>
    </row>
    <row r="48" spans="4:19">
      <c r="D48" s="30" t="s">
        <v>41</v>
      </c>
      <c r="E48" s="37" t="s">
        <v>44</v>
      </c>
      <c r="F48" s="37" t="s">
        <v>47</v>
      </c>
      <c r="G48" s="37" t="s">
        <v>47</v>
      </c>
      <c r="H48" s="37" t="s">
        <v>51</v>
      </c>
      <c r="I48" s="37">
        <v>1500</v>
      </c>
      <c r="J48" s="37">
        <v>1</v>
      </c>
      <c r="K48" s="37">
        <v>5</v>
      </c>
      <c r="L48" s="37">
        <v>150</v>
      </c>
    </row>
    <row r="49" spans="4:12">
      <c r="D49" s="30" t="s">
        <v>42</v>
      </c>
      <c r="E49" s="37" t="s">
        <v>44</v>
      </c>
      <c r="F49" s="37" t="s">
        <v>48</v>
      </c>
      <c r="G49" s="37" t="s">
        <v>50</v>
      </c>
      <c r="H49" s="37" t="s">
        <v>46</v>
      </c>
      <c r="I49" s="37">
        <v>1200</v>
      </c>
      <c r="J49" s="37">
        <v>0</v>
      </c>
      <c r="K49" s="37">
        <v>8</v>
      </c>
      <c r="L49" s="37">
        <v>180</v>
      </c>
    </row>
    <row r="50" spans="4:12">
      <c r="D50" s="30" t="s">
        <v>43</v>
      </c>
      <c r="E50" s="37" t="s">
        <v>44</v>
      </c>
      <c r="F50" s="37" t="s">
        <v>49</v>
      </c>
      <c r="G50" s="37" t="s">
        <v>47</v>
      </c>
      <c r="H50" s="37" t="s">
        <v>51</v>
      </c>
      <c r="I50" s="37">
        <v>1500</v>
      </c>
      <c r="J50" s="37">
        <v>3</v>
      </c>
      <c r="K50" s="37">
        <v>2</v>
      </c>
      <c r="L50" s="37">
        <v>350</v>
      </c>
    </row>
    <row r="51" spans="4:12">
      <c r="D51" s="30" t="s">
        <v>14</v>
      </c>
      <c r="E51" s="37" t="s">
        <v>46</v>
      </c>
      <c r="F51" s="37" t="s">
        <v>49</v>
      </c>
      <c r="G51" s="37" t="s">
        <v>50</v>
      </c>
      <c r="H51" s="37" t="s">
        <v>46</v>
      </c>
      <c r="I51" s="37">
        <v>2100</v>
      </c>
      <c r="J51" s="37">
        <v>5</v>
      </c>
      <c r="K51" s="37">
        <v>0</v>
      </c>
      <c r="L51" s="37">
        <v>410</v>
      </c>
    </row>
    <row r="52" spans="4:12">
      <c r="D52" s="30" t="s">
        <v>15</v>
      </c>
      <c r="E52" s="37" t="s">
        <v>46</v>
      </c>
      <c r="F52" s="37" t="s">
        <v>48</v>
      </c>
      <c r="G52" s="37" t="s">
        <v>47</v>
      </c>
      <c r="H52" s="37" t="s">
        <v>51</v>
      </c>
      <c r="I52" s="37">
        <v>3100</v>
      </c>
      <c r="J52" s="37">
        <v>2</v>
      </c>
      <c r="K52" s="37">
        <v>5</v>
      </c>
      <c r="L52" s="37">
        <v>254</v>
      </c>
    </row>
    <row r="53" spans="4:12">
      <c r="D53" s="9"/>
      <c r="E53" s="9"/>
      <c r="I53" s="9"/>
      <c r="J53" s="9"/>
    </row>
    <row r="59" spans="4:12" ht="17.25">
      <c r="D59" s="5"/>
    </row>
  </sheetData>
  <mergeCells count="10">
    <mergeCell ref="N30:S30"/>
    <mergeCell ref="N31:S31"/>
    <mergeCell ref="N33:S33"/>
    <mergeCell ref="N34:S34"/>
    <mergeCell ref="N21:S21"/>
    <mergeCell ref="N22:S22"/>
    <mergeCell ref="N24:S24"/>
    <mergeCell ref="N25:S25"/>
    <mergeCell ref="N27:S27"/>
    <mergeCell ref="N28:S28"/>
  </mergeCells>
  <conditionalFormatting sqref="D9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</conditionalFormatting>
  <conditionalFormatting sqref="D9">
    <cfRule type="duplicateValues" dxfId="12" priority="1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9:M27"/>
  <sheetViews>
    <sheetView showGridLines="0" topLeftCell="B13" zoomScaleNormal="100" workbookViewId="0">
      <selection activeCell="H27" sqref="H27"/>
    </sheetView>
  </sheetViews>
  <sheetFormatPr baseColWidth="10" defaultRowHeight="15"/>
  <cols>
    <col min="1" max="1" width="8.7109375" style="23" customWidth="1"/>
    <col min="2" max="2" width="3.42578125" customWidth="1"/>
    <col min="4" max="4" width="13.42578125" customWidth="1"/>
    <col min="5" max="5" width="13.85546875" customWidth="1"/>
    <col min="6" max="7" width="11.42578125" customWidth="1"/>
    <col min="8" max="8" width="13.7109375" bestFit="1" customWidth="1"/>
    <col min="10" max="10" width="11.42578125" customWidth="1"/>
    <col min="11" max="11" width="13.42578125" customWidth="1"/>
  </cols>
  <sheetData>
    <row r="9" spans="3:13" ht="36.75" customHeight="1" thickBot="1">
      <c r="C9" s="25" t="s">
        <v>58</v>
      </c>
      <c r="D9" s="26"/>
      <c r="E9" s="26"/>
      <c r="F9" s="26"/>
      <c r="G9" s="26"/>
      <c r="H9" s="26"/>
      <c r="I9" s="26"/>
      <c r="J9" s="26"/>
      <c r="K9" s="26"/>
      <c r="L9" s="26"/>
      <c r="M9" s="26"/>
    </row>
    <row r="10" spans="3:13" ht="15.75" thickTop="1">
      <c r="C10" s="1"/>
    </row>
    <row r="11" spans="3:13" ht="20.25">
      <c r="G11" s="27" t="s">
        <v>171</v>
      </c>
    </row>
    <row r="12" spans="3:13" ht="7.5" customHeight="1"/>
    <row r="13" spans="3:13" ht="15.75">
      <c r="C13" s="28" t="s">
        <v>0</v>
      </c>
      <c r="D13" s="34" t="s">
        <v>199</v>
      </c>
    </row>
    <row r="14" spans="3:13" ht="15.75">
      <c r="C14" s="28"/>
    </row>
    <row r="15" spans="3:13" ht="17.25">
      <c r="C15" s="28" t="s">
        <v>1</v>
      </c>
      <c r="D15" s="6"/>
    </row>
    <row r="16" spans="3:13" ht="13.5" customHeight="1">
      <c r="C16" s="28"/>
    </row>
    <row r="17" spans="3:8" ht="15.75">
      <c r="C17" s="28" t="s">
        <v>2</v>
      </c>
    </row>
    <row r="18" spans="3:8" ht="15.75">
      <c r="D18" s="38" t="s">
        <v>174</v>
      </c>
    </row>
    <row r="19" spans="3:8" ht="30" customHeight="1">
      <c r="D19" s="39" t="s">
        <v>100</v>
      </c>
      <c r="E19" s="39" t="s">
        <v>175</v>
      </c>
      <c r="F19" s="39" t="s">
        <v>172</v>
      </c>
      <c r="G19" s="39" t="s">
        <v>189</v>
      </c>
      <c r="H19" s="49" t="s">
        <v>190</v>
      </c>
    </row>
    <row r="20" spans="3:8">
      <c r="D20" s="46" t="s">
        <v>177</v>
      </c>
      <c r="E20" s="48" t="s">
        <v>176</v>
      </c>
      <c r="F20" s="48" t="s">
        <v>173</v>
      </c>
      <c r="G20" s="48">
        <v>2011</v>
      </c>
      <c r="H20" s="48">
        <v>300</v>
      </c>
    </row>
    <row r="21" spans="3:8">
      <c r="D21" s="46" t="s">
        <v>178</v>
      </c>
      <c r="E21" s="48" t="s">
        <v>176</v>
      </c>
      <c r="F21" s="48" t="s">
        <v>173</v>
      </c>
      <c r="G21" s="48">
        <v>2012</v>
      </c>
      <c r="H21" s="48">
        <v>540</v>
      </c>
    </row>
    <row r="22" spans="3:8" ht="15.75" customHeight="1">
      <c r="D22" s="46" t="s">
        <v>179</v>
      </c>
      <c r="E22" s="48" t="s">
        <v>176</v>
      </c>
      <c r="F22" s="48" t="s">
        <v>173</v>
      </c>
      <c r="G22" s="48">
        <v>2013</v>
      </c>
      <c r="H22" s="48">
        <v>900</v>
      </c>
    </row>
    <row r="23" spans="3:8">
      <c r="D23" s="46" t="s">
        <v>180</v>
      </c>
      <c r="E23" s="48" t="s">
        <v>176</v>
      </c>
      <c r="F23" s="48" t="s">
        <v>173</v>
      </c>
      <c r="G23" s="48">
        <v>2014</v>
      </c>
      <c r="H23" s="48">
        <v>1431</v>
      </c>
    </row>
    <row r="24" spans="3:8">
      <c r="D24" s="46" t="s">
        <v>181</v>
      </c>
      <c r="E24" s="48" t="s">
        <v>176</v>
      </c>
      <c r="F24" s="48" t="s">
        <v>173</v>
      </c>
      <c r="G24" s="48">
        <v>2015</v>
      </c>
      <c r="H24" s="48">
        <v>1988</v>
      </c>
    </row>
    <row r="25" spans="3:8">
      <c r="D25" s="46" t="s">
        <v>182</v>
      </c>
      <c r="E25" s="48" t="s">
        <v>176</v>
      </c>
      <c r="F25" s="48" t="s">
        <v>173</v>
      </c>
      <c r="G25" s="48">
        <v>2016</v>
      </c>
      <c r="H25" s="48">
        <v>2028</v>
      </c>
    </row>
    <row r="26" spans="3:8">
      <c r="D26" s="46" t="s">
        <v>183</v>
      </c>
      <c r="E26" s="48" t="s">
        <v>176</v>
      </c>
      <c r="F26" s="48" t="s">
        <v>173</v>
      </c>
      <c r="G26" s="48">
        <v>2017</v>
      </c>
      <c r="H26" s="48">
        <v>2701</v>
      </c>
    </row>
    <row r="27" spans="3:8">
      <c r="D27" s="46" t="s">
        <v>184</v>
      </c>
      <c r="E27" s="48" t="s">
        <v>176</v>
      </c>
      <c r="F27" s="48" t="s">
        <v>173</v>
      </c>
      <c r="G27" s="48">
        <v>2018</v>
      </c>
      <c r="H27" s="48">
        <f>FORECAST(G27,H20:H26,G20:G26)</f>
        <v>3022.1428571429569</v>
      </c>
    </row>
  </sheetData>
  <conditionalFormatting sqref="D9">
    <cfRule type="duplicateValues" dxfId="11" priority="2"/>
    <cfRule type="duplicateValues" dxfId="10" priority="3"/>
    <cfRule type="duplicateValues" dxfId="9" priority="4"/>
    <cfRule type="duplicateValues" dxfId="8" priority="5"/>
    <cfRule type="duplicateValues" dxfId="7" priority="6"/>
  </conditionalFormatting>
  <conditionalFormatting sqref="D9">
    <cfRule type="duplicateValues" dxfId="6" priority="1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9:L30"/>
  <sheetViews>
    <sheetView showGridLines="0" zoomScale="55" zoomScaleNormal="55" workbookViewId="0">
      <selection activeCell="J22" sqref="J22"/>
    </sheetView>
  </sheetViews>
  <sheetFormatPr baseColWidth="10" defaultRowHeight="15"/>
  <cols>
    <col min="1" max="1" width="8.7109375" style="23" customWidth="1"/>
    <col min="2" max="2" width="3.42578125" customWidth="1"/>
    <col min="4" max="4" width="13.42578125" customWidth="1"/>
    <col min="5" max="6" width="13.85546875" customWidth="1"/>
    <col min="7" max="7" width="14.28515625" customWidth="1"/>
    <col min="8" max="8" width="13.42578125" bestFit="1" customWidth="1"/>
    <col min="10" max="11" width="34.140625" customWidth="1"/>
  </cols>
  <sheetData>
    <row r="9" spans="3:12" ht="36.75" customHeight="1" thickBot="1">
      <c r="C9" s="25" t="s">
        <v>58</v>
      </c>
      <c r="D9" s="26"/>
      <c r="E9" s="26"/>
      <c r="F9" s="26"/>
      <c r="G9" s="26"/>
      <c r="H9" s="26"/>
      <c r="I9" s="26"/>
      <c r="J9" s="26"/>
      <c r="K9" s="26"/>
      <c r="L9" s="26"/>
    </row>
    <row r="10" spans="3:12" ht="15.75" thickTop="1">
      <c r="C10" s="1"/>
    </row>
    <row r="11" spans="3:12" ht="20.25">
      <c r="G11" s="27" t="s">
        <v>191</v>
      </c>
    </row>
    <row r="12" spans="3:12" ht="7.5" customHeight="1"/>
    <row r="13" spans="3:12" ht="15.75">
      <c r="C13" s="28" t="s">
        <v>0</v>
      </c>
      <c r="D13" s="34" t="s">
        <v>200</v>
      </c>
    </row>
    <row r="14" spans="3:12" ht="15.75">
      <c r="C14" s="28"/>
      <c r="D14" s="34" t="s">
        <v>186</v>
      </c>
    </row>
    <row r="15" spans="3:12" ht="15.75">
      <c r="C15" s="28"/>
    </row>
    <row r="16" spans="3:12" ht="17.25">
      <c r="C16" s="28" t="s">
        <v>1</v>
      </c>
      <c r="D16" s="6"/>
    </row>
    <row r="17" spans="3:11" ht="13.5" customHeight="1">
      <c r="C17" s="28"/>
    </row>
    <row r="18" spans="3:11" ht="15.75">
      <c r="C18" s="28" t="s">
        <v>2</v>
      </c>
    </row>
    <row r="19" spans="3:11" ht="17.25">
      <c r="D19" s="5"/>
    </row>
    <row r="20" spans="3:11" ht="30" customHeight="1">
      <c r="D20" s="50" t="s">
        <v>77</v>
      </c>
      <c r="E20" s="50" t="s">
        <v>78</v>
      </c>
      <c r="F20" s="50" t="s">
        <v>79</v>
      </c>
      <c r="G20" s="50" t="s">
        <v>80</v>
      </c>
      <c r="H20" s="51" t="s">
        <v>81</v>
      </c>
      <c r="I20" s="51" t="s">
        <v>185</v>
      </c>
      <c r="J20" s="51" t="s">
        <v>187</v>
      </c>
      <c r="K20" s="51" t="s">
        <v>188</v>
      </c>
    </row>
    <row r="21" spans="3:11" ht="16.5">
      <c r="D21" s="30" t="s">
        <v>82</v>
      </c>
      <c r="E21" s="32">
        <v>16</v>
      </c>
      <c r="F21" s="32">
        <v>12</v>
      </c>
      <c r="G21" s="32">
        <v>20</v>
      </c>
      <c r="H21" s="32">
        <v>9</v>
      </c>
      <c r="I21" s="31">
        <f>AVERAGE(E21:H21)</f>
        <v>14.25</v>
      </c>
      <c r="J21" s="29">
        <f>_xlfn.RANK.EQ(I21,$I$21:$I$30,0)</f>
        <v>2</v>
      </c>
      <c r="K21" s="29">
        <f>_xlfn.RANK.EQ(I21,$I$21:$I$30,1)</f>
        <v>9</v>
      </c>
    </row>
    <row r="22" spans="3:11" ht="16.5">
      <c r="D22" s="30" t="s">
        <v>83</v>
      </c>
      <c r="E22" s="32">
        <v>4</v>
      </c>
      <c r="F22" s="32">
        <v>5</v>
      </c>
      <c r="G22" s="32">
        <v>13</v>
      </c>
      <c r="H22" s="32">
        <v>16</v>
      </c>
      <c r="I22" s="31">
        <f t="shared" ref="I22:I30" si="0">AVERAGE(E22:H22)</f>
        <v>9.5</v>
      </c>
      <c r="J22" s="29">
        <f t="shared" ref="J22:J30" si="1">_xlfn.RANK.EQ(I22,$I$21:$I$30,0)</f>
        <v>8</v>
      </c>
      <c r="K22" s="29">
        <f t="shared" ref="K22:K30" si="2">_xlfn.RANK.EQ(I22,$I$21:$I$30,1)</f>
        <v>3</v>
      </c>
    </row>
    <row r="23" spans="3:11" ht="15.75" customHeight="1">
      <c r="D23" s="30" t="s">
        <v>84</v>
      </c>
      <c r="E23" s="32">
        <v>17</v>
      </c>
      <c r="F23" s="32">
        <v>11.26</v>
      </c>
      <c r="G23" s="32">
        <v>14</v>
      </c>
      <c r="H23" s="32">
        <v>20</v>
      </c>
      <c r="I23" s="31">
        <f t="shared" si="0"/>
        <v>15.565</v>
      </c>
      <c r="J23" s="29">
        <f t="shared" si="1"/>
        <v>1</v>
      </c>
      <c r="K23" s="29">
        <f t="shared" si="2"/>
        <v>10</v>
      </c>
    </row>
    <row r="24" spans="3:11" ht="16.5">
      <c r="D24" s="30" t="s">
        <v>85</v>
      </c>
      <c r="E24" s="32">
        <v>18</v>
      </c>
      <c r="F24" s="32">
        <v>9</v>
      </c>
      <c r="G24" s="32">
        <v>2</v>
      </c>
      <c r="H24" s="32">
        <v>14</v>
      </c>
      <c r="I24" s="31">
        <f t="shared" si="0"/>
        <v>10.75</v>
      </c>
      <c r="J24" s="29">
        <f t="shared" si="1"/>
        <v>5</v>
      </c>
      <c r="K24" s="29">
        <f t="shared" si="2"/>
        <v>6</v>
      </c>
    </row>
    <row r="25" spans="3:11" ht="16.5">
      <c r="D25" s="30" t="s">
        <v>86</v>
      </c>
      <c r="E25" s="32">
        <v>20</v>
      </c>
      <c r="F25" s="32">
        <v>6</v>
      </c>
      <c r="G25" s="32">
        <v>11</v>
      </c>
      <c r="H25" s="32">
        <v>6.76</v>
      </c>
      <c r="I25" s="31">
        <f t="shared" si="0"/>
        <v>10.94</v>
      </c>
      <c r="J25" s="29">
        <f t="shared" si="1"/>
        <v>4</v>
      </c>
      <c r="K25" s="29">
        <f t="shared" si="2"/>
        <v>7</v>
      </c>
    </row>
    <row r="26" spans="3:11" ht="16.5">
      <c r="D26" s="30" t="s">
        <v>87</v>
      </c>
      <c r="E26" s="32">
        <v>7</v>
      </c>
      <c r="F26" s="32">
        <v>12</v>
      </c>
      <c r="G26" s="32">
        <v>13.97</v>
      </c>
      <c r="H26" s="32">
        <v>20</v>
      </c>
      <c r="I26" s="31">
        <f t="shared" si="0"/>
        <v>13.2425</v>
      </c>
      <c r="J26" s="29">
        <f t="shared" si="1"/>
        <v>3</v>
      </c>
      <c r="K26" s="29">
        <f t="shared" si="2"/>
        <v>8</v>
      </c>
    </row>
    <row r="27" spans="3:11" ht="16.5">
      <c r="D27" s="30" t="s">
        <v>88</v>
      </c>
      <c r="E27" s="32">
        <v>4</v>
      </c>
      <c r="F27" s="32">
        <v>18.55</v>
      </c>
      <c r="G27" s="32">
        <v>10</v>
      </c>
      <c r="H27" s="32">
        <v>8</v>
      </c>
      <c r="I27" s="31">
        <f t="shared" si="0"/>
        <v>10.137499999999999</v>
      </c>
      <c r="J27" s="29">
        <f t="shared" si="1"/>
        <v>6</v>
      </c>
      <c r="K27" s="29">
        <f t="shared" si="2"/>
        <v>5</v>
      </c>
    </row>
    <row r="28" spans="3:11" ht="16.5">
      <c r="D28" s="30" t="s">
        <v>89</v>
      </c>
      <c r="E28" s="32">
        <v>6</v>
      </c>
      <c r="F28" s="32">
        <v>4</v>
      </c>
      <c r="G28" s="32">
        <v>4</v>
      </c>
      <c r="H28" s="32">
        <v>12</v>
      </c>
      <c r="I28" s="31">
        <f t="shared" si="0"/>
        <v>6.5</v>
      </c>
      <c r="J28" s="29">
        <f t="shared" si="1"/>
        <v>10</v>
      </c>
      <c r="K28" s="29">
        <f t="shared" si="2"/>
        <v>1</v>
      </c>
    </row>
    <row r="29" spans="3:11" ht="16.5">
      <c r="D29" s="30" t="s">
        <v>90</v>
      </c>
      <c r="E29" s="32">
        <v>12</v>
      </c>
      <c r="F29" s="32">
        <v>14</v>
      </c>
      <c r="G29" s="32">
        <v>3</v>
      </c>
      <c r="H29" s="32">
        <v>7</v>
      </c>
      <c r="I29" s="31">
        <f t="shared" si="0"/>
        <v>9</v>
      </c>
      <c r="J29" s="29">
        <f t="shared" si="1"/>
        <v>9</v>
      </c>
      <c r="K29" s="29">
        <f t="shared" si="2"/>
        <v>2</v>
      </c>
    </row>
    <row r="30" spans="3:11" ht="16.5">
      <c r="D30" s="30" t="s">
        <v>91</v>
      </c>
      <c r="E30" s="32">
        <v>3.8</v>
      </c>
      <c r="F30" s="32">
        <v>16</v>
      </c>
      <c r="G30" s="32">
        <v>6</v>
      </c>
      <c r="H30" s="32">
        <v>14</v>
      </c>
      <c r="I30" s="31">
        <f t="shared" si="0"/>
        <v>9.9499999999999993</v>
      </c>
      <c r="J30" s="29">
        <f t="shared" si="1"/>
        <v>7</v>
      </c>
      <c r="K30" s="29">
        <f t="shared" si="2"/>
        <v>4</v>
      </c>
    </row>
  </sheetData>
  <conditionalFormatting sqref="D9"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conditionalFormatting sqref="D9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F.Contar</vt:lpstr>
      <vt:lpstr>F.Contara</vt:lpstr>
      <vt:lpstr>F.Contar.Si</vt:lpstr>
      <vt:lpstr>F.Contar.Si.Conjunto</vt:lpstr>
      <vt:lpstr>F.Contar.Blanco</vt:lpstr>
      <vt:lpstr>F.K.Esimo.Mayor</vt:lpstr>
      <vt:lpstr>F.K.Esimo.Menor</vt:lpstr>
      <vt:lpstr>F.Pronostico</vt:lpstr>
      <vt:lpstr>F.Jerarquia.Eqv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Nick Muñoz Maldonado</dc:creator>
  <cp:lastModifiedBy>ADMIN</cp:lastModifiedBy>
  <dcterms:created xsi:type="dcterms:W3CDTF">2018-08-27T13:53:39Z</dcterms:created>
  <dcterms:modified xsi:type="dcterms:W3CDTF">2025-12-15T01:51:26Z</dcterms:modified>
</cp:coreProperties>
</file>