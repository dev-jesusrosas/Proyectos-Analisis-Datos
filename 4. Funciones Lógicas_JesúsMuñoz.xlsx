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C7BD4F-9AEF-4CF5-ABA8-4ED84C1204D6}" xr6:coauthVersionLast="47" xr6:coauthVersionMax="47" xr10:uidLastSave="{00000000-0000-0000-0000-000000000000}"/>
  <bookViews>
    <workbookView xWindow="3975" yWindow="3975" windowWidth="14145" windowHeight="11295" activeTab="2" xr2:uid="{00000000-000D-0000-FFFF-FFFF00000000}"/>
  </bookViews>
  <sheets>
    <sheet name="F.Si" sheetId="1" r:id="rId1"/>
    <sheet name="F.Y" sheetId="2" r:id="rId2"/>
    <sheet name="F.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i2+ICAQ6kRpmlSCnAI9gCfBJJBw=="/>
    </ext>
  </extLst>
</workbook>
</file>

<file path=xl/calcChain.xml><?xml version="1.0" encoding="utf-8"?>
<calcChain xmlns="http://schemas.openxmlformats.org/spreadsheetml/2006/main">
  <c r="H35" i="3" l="1"/>
  <c r="H36" i="3"/>
  <c r="H37" i="3"/>
  <c r="H38" i="3"/>
  <c r="H39" i="3"/>
  <c r="H40" i="3"/>
  <c r="H34" i="3"/>
  <c r="G20" i="3"/>
  <c r="G21" i="3"/>
  <c r="G22" i="3"/>
  <c r="G23" i="3"/>
  <c r="G24" i="3"/>
  <c r="G25" i="3"/>
  <c r="G26" i="3"/>
  <c r="G27" i="3"/>
  <c r="G28" i="3"/>
  <c r="H48" i="2"/>
  <c r="H49" i="2"/>
  <c r="H50" i="2"/>
  <c r="H51" i="2"/>
  <c r="H52" i="2"/>
  <c r="H53" i="2"/>
  <c r="H54" i="2"/>
  <c r="H55" i="2"/>
  <c r="H56" i="2"/>
  <c r="H47" i="2"/>
  <c r="H36" i="2"/>
  <c r="H37" i="2"/>
  <c r="H38" i="2"/>
  <c r="H39" i="2"/>
  <c r="H40" i="2"/>
  <c r="H41" i="2"/>
  <c r="H35" i="2"/>
  <c r="H23" i="2"/>
  <c r="H21" i="2"/>
  <c r="H22" i="2"/>
  <c r="H24" i="2"/>
  <c r="H25" i="2"/>
  <c r="H26" i="2"/>
  <c r="H27" i="2"/>
  <c r="H28" i="2"/>
  <c r="H29" i="2"/>
  <c r="H20" i="2"/>
  <c r="H39" i="1"/>
  <c r="H40" i="1"/>
  <c r="H41" i="1"/>
  <c r="H42" i="1"/>
  <c r="H43" i="1"/>
  <c r="H44" i="1"/>
  <c r="H45" i="1"/>
  <c r="H46" i="1"/>
  <c r="H47" i="1"/>
  <c r="H48" i="1"/>
  <c r="H38" i="1"/>
  <c r="I21" i="1"/>
  <c r="I22" i="1"/>
  <c r="I23" i="1"/>
  <c r="I24" i="1"/>
  <c r="I25" i="1"/>
  <c r="I26" i="1"/>
  <c r="I27" i="1"/>
  <c r="I28" i="1"/>
  <c r="I29" i="1"/>
  <c r="I30" i="1"/>
  <c r="I20" i="1"/>
  <c r="G32" i="1"/>
  <c r="H21" i="1"/>
  <c r="H22" i="1"/>
  <c r="H23" i="1"/>
  <c r="H24" i="1"/>
  <c r="H25" i="1"/>
  <c r="H26" i="1"/>
  <c r="H27" i="1"/>
  <c r="H28" i="1"/>
  <c r="H29" i="1"/>
  <c r="H30" i="1"/>
  <c r="H20" i="1"/>
</calcChain>
</file>

<file path=xl/sharedStrings.xml><?xml version="1.0" encoding="utf-8"?>
<sst xmlns="http://schemas.openxmlformats.org/spreadsheetml/2006/main" count="184" uniqueCount="111">
  <si>
    <t>TEMA: FUNCIONES LÓGICAS</t>
  </si>
  <si>
    <t>Función SI</t>
  </si>
  <si>
    <t>Concepto: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</si>
  <si>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Si</t>
    </r>
    <r>
      <rPr>
        <sz val="12"/>
        <color rgb="FFFF6060"/>
        <rFont val="Inter"/>
      </rPr>
      <t xml:space="preserve"> </t>
    </r>
    <r>
      <rPr>
        <sz val="12"/>
        <color rgb="FF4F4F4F"/>
        <rFont val="Inter"/>
      </rPr>
      <t>devuelve un valor si una condición especificada se evalúa como VERDADERO y otro valor si se evalúa como FALSO.</t>
    </r>
  </si>
  <si>
    <t>Sintaxis:</t>
  </si>
  <si>
    <t>Ejemplo1:</t>
  </si>
  <si>
    <t>CÓDIGO</t>
  </si>
  <si>
    <t>TIPO</t>
  </si>
  <si>
    <t>TURNO</t>
  </si>
  <si>
    <t>UNIDADES PRODUCIDAS</t>
  </si>
  <si>
    <t>MONTO</t>
  </si>
  <si>
    <t>BONIF 1</t>
  </si>
  <si>
    <t>A-100</t>
  </si>
  <si>
    <t>Estable</t>
  </si>
  <si>
    <t>A-101</t>
  </si>
  <si>
    <t>Destajo</t>
  </si>
  <si>
    <t>A-102</t>
  </si>
  <si>
    <t>A-103</t>
  </si>
  <si>
    <t>A-104</t>
  </si>
  <si>
    <t>A-105</t>
  </si>
  <si>
    <t>A-106</t>
  </si>
  <si>
    <t>A-107</t>
  </si>
  <si>
    <t>A-108</t>
  </si>
  <si>
    <t>A-109</t>
  </si>
  <si>
    <t>A-110</t>
  </si>
  <si>
    <t>Estado:</t>
  </si>
  <si>
    <t>Ejemplo2:</t>
  </si>
  <si>
    <t>GUÍA</t>
  </si>
  <si>
    <t>PESO</t>
  </si>
  <si>
    <t>FRÁGIL</t>
  </si>
  <si>
    <t>RECARGO1</t>
  </si>
  <si>
    <t>RECARGO2</t>
  </si>
  <si>
    <t>K013-L</t>
  </si>
  <si>
    <t>Urbano</t>
  </si>
  <si>
    <t>Si</t>
  </si>
  <si>
    <t>K014-L</t>
  </si>
  <si>
    <t>Zonal</t>
  </si>
  <si>
    <t>No</t>
  </si>
  <si>
    <t>K015-L</t>
  </si>
  <si>
    <t>K016-L</t>
  </si>
  <si>
    <t>K017-L</t>
  </si>
  <si>
    <t>K018-L</t>
  </si>
  <si>
    <t>K019-L</t>
  </si>
  <si>
    <t>K020-L</t>
  </si>
  <si>
    <t>K021-L</t>
  </si>
  <si>
    <t>K022-L</t>
  </si>
  <si>
    <t>K023-L</t>
  </si>
  <si>
    <t>Función Y (COMBINADO CON SI)</t>
  </si>
  <si>
    <r>
      <rPr>
        <sz val="12"/>
        <color rgb="FF4F4F4F"/>
        <rFont val="Inter"/>
      </rPr>
      <t>La</t>
    </r>
    <r>
      <rPr>
        <sz val="12"/>
        <color rgb="FFFF6060"/>
        <rFont val="Inter"/>
      </rPr>
      <t xml:space="preserve"> </t>
    </r>
    <r>
      <rPr>
        <b/>
        <sz val="12"/>
        <color rgb="FFFF6060"/>
        <rFont val="Inter"/>
      </rPr>
      <t>función Y</t>
    </r>
    <r>
      <rPr>
        <sz val="12"/>
        <color rgb="FF4F4F4F"/>
        <rFont val="Inter"/>
      </rPr>
      <t xml:space="preserve"> comprueba si todos los argumentos son VERDADEROS, y devuelve VERDADERO si todos los argumentos son VERDADEROS.</t>
    </r>
  </si>
  <si>
    <t>TITULADO</t>
  </si>
  <si>
    <t>EXPERIENCIA AÑOS</t>
  </si>
  <si>
    <t>EDAD</t>
  </si>
  <si>
    <t>ESTADO</t>
  </si>
  <si>
    <t>A001</t>
  </si>
  <si>
    <t>NO</t>
  </si>
  <si>
    <t>A002</t>
  </si>
  <si>
    <t>A003</t>
  </si>
  <si>
    <t>A004</t>
  </si>
  <si>
    <t>A005</t>
  </si>
  <si>
    <t>A006</t>
  </si>
  <si>
    <t>A007</t>
  </si>
  <si>
    <t>SI</t>
  </si>
  <si>
    <t>A008</t>
  </si>
  <si>
    <t>A009</t>
  </si>
  <si>
    <t>A010</t>
  </si>
  <si>
    <t>NOMBRE</t>
  </si>
  <si>
    <t>ÁREA</t>
  </si>
  <si>
    <t>N° HIJOS</t>
  </si>
  <si>
    <t>BONIFICACIÓN</t>
  </si>
  <si>
    <t>ANTHONY</t>
  </si>
  <si>
    <t>LOGÍSTICA</t>
  </si>
  <si>
    <t>JAIR</t>
  </si>
  <si>
    <t>MARKETING</t>
  </si>
  <si>
    <t>ROMINA</t>
  </si>
  <si>
    <t>CYNTHIA</t>
  </si>
  <si>
    <t>SISTEMAS</t>
  </si>
  <si>
    <t>JOSÉ</t>
  </si>
  <si>
    <t>XIMENA</t>
  </si>
  <si>
    <t>PEDRO</t>
  </si>
  <si>
    <t>Ejemplo3:</t>
  </si>
  <si>
    <t>ALUMNO</t>
  </si>
  <si>
    <t>PRÁCTICA 1</t>
  </si>
  <si>
    <t>PRÁCTICA 2</t>
  </si>
  <si>
    <t>PRÁCTICA 3</t>
  </si>
  <si>
    <t>CAMILA</t>
  </si>
  <si>
    <t>EVA</t>
  </si>
  <si>
    <t>GEISON</t>
  </si>
  <si>
    <t>ALEXANDRA</t>
  </si>
  <si>
    <t>MICHAEL</t>
  </si>
  <si>
    <t>ALDO</t>
  </si>
  <si>
    <t>ANA</t>
  </si>
  <si>
    <t>ALEX</t>
  </si>
  <si>
    <t>Función O (COMBINADO CON SI)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</si>
  <si>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O</t>
    </r>
    <r>
      <rPr>
        <sz val="12"/>
        <color rgb="FF4F4F4F"/>
        <rFont val="Inter"/>
      </rPr>
      <t xml:space="preserve"> devuelve el valor VERDADERO si algunos de los parámetros es verdadero ó regresa FALSO si todos los parámetros son falsos. </t>
    </r>
  </si>
  <si>
    <t>ESTADO CIVIL</t>
  </si>
  <si>
    <t>HIJOS</t>
  </si>
  <si>
    <t>Z-001</t>
  </si>
  <si>
    <t>C</t>
  </si>
  <si>
    <t>Z-002</t>
  </si>
  <si>
    <t>S</t>
  </si>
  <si>
    <t>Z-003</t>
  </si>
  <si>
    <t>Z-004</t>
  </si>
  <si>
    <t>Z-005</t>
  </si>
  <si>
    <t>Z-006</t>
  </si>
  <si>
    <t>Z-007</t>
  </si>
  <si>
    <t>Z-008</t>
  </si>
  <si>
    <t>Z-009</t>
  </si>
  <si>
    <t>Práctica 1</t>
  </si>
  <si>
    <t>Práctica 2</t>
  </si>
  <si>
    <t>Práctica 3</t>
  </si>
  <si>
    <t>Estado para rendir examen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</si>
</sst>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Arial"/>
    </font>
    <font>
      <sz val="11"/>
      <color theme="1"/>
      <name val="Calibri"/>
    </font>
    <font>
      <b/>
      <sz val="29"/>
      <color rgb="FF000000"/>
      <name val="Krona One"/>
    </font>
    <font>
      <b/>
      <sz val="15"/>
      <color rgb="FF44546A"/>
      <name val="Inter"/>
    </font>
    <font>
      <b/>
      <sz val="16"/>
      <color rgb="FFFF6060"/>
      <name val="Inter"/>
    </font>
    <font>
      <b/>
      <sz val="12"/>
      <color theme="1"/>
      <name val="Inter"/>
    </font>
    <font>
      <sz val="12"/>
      <color theme="1"/>
      <name val="Inter"/>
    </font>
    <font>
      <sz val="12"/>
      <color theme="1"/>
      <name val="Century Gothic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rgb="FF013C64"/>
      <name val="Century Gothic"/>
    </font>
    <font>
      <b/>
      <sz val="12"/>
      <color rgb="FF0C0C0C"/>
      <name val="Inter"/>
    </font>
    <font>
      <sz val="11"/>
      <color theme="1"/>
      <name val="Century Gothic"/>
    </font>
    <font>
      <sz val="11"/>
      <color theme="1"/>
      <name val="Inter"/>
    </font>
    <font>
      <sz val="11"/>
      <color theme="0"/>
      <name val="Calibri"/>
    </font>
    <font>
      <sz val="12"/>
      <color rgb="FF4F4F4F"/>
      <name val="Inter"/>
    </font>
    <font>
      <b/>
      <sz val="12"/>
      <color rgb="FFFF6060"/>
      <name val="Inter"/>
    </font>
    <font>
      <sz val="12"/>
      <color rgb="FFFF6060"/>
      <name val="Inter"/>
    </font>
  </fonts>
  <fills count="4">
    <fill>
      <patternFill patternType="none"/>
    </fill>
    <fill>
      <patternFill patternType="gray125"/>
    </fill>
    <fill>
      <patternFill patternType="solid">
        <fgColor rgb="FF4F4F4F"/>
        <bgColor rgb="FF4F4F4F"/>
      </patternFill>
    </fill>
    <fill>
      <patternFill patternType="solid">
        <fgColor rgb="FF7ADBD6"/>
        <bgColor rgb="FF7ADBD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7ADBD7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/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49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800100</xdr:colOff>
      <xdr:row>13</xdr:row>
      <xdr:rowOff>161925</xdr:rowOff>
    </xdr:from>
    <xdr:ext cx="5753100" cy="285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474213" y="3641888"/>
          <a:ext cx="574357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=SI(PRUEBA_LÓGICA, [VALOR_SI_VERDADERO], [VALOR_SI_FALSO])</a:t>
          </a:r>
          <a:endParaRPr sz="1400"/>
        </a:p>
      </xdr:txBody>
    </xdr:sp>
    <xdr:clientData fLocksWithSheet="0"/>
  </xdr:oneCellAnchor>
  <xdr:oneCellAnchor>
    <xdr:from>
      <xdr:col>9</xdr:col>
      <xdr:colOff>390525</xdr:colOff>
      <xdr:row>18</xdr:row>
      <xdr:rowOff>295275</xdr:rowOff>
    </xdr:from>
    <xdr:ext cx="5610225" cy="5619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550413" y="3508538"/>
          <a:ext cx="5591175" cy="542925"/>
        </a:xfrm>
        <a:prstGeom prst="rect">
          <a:avLst/>
        </a:prstGeom>
        <a:solidFill>
          <a:schemeClr val="lt1"/>
        </a:solidFill>
        <a:ln w="19050" cap="flat" cmpd="sng">
          <a:solidFill>
            <a:srgbClr val="78DAD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Primera tarea: Se pide calcular el </a:t>
          </a:r>
          <a:r>
            <a:rPr lang="en-US" sz="1200" b="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Monto</a:t>
          </a:r>
          <a:r>
            <a:rPr lang="en-US" sz="1200" b="1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,</a:t>
          </a:r>
          <a:r>
            <a:rPr lang="en-US" sz="1200" b="1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</a:t>
          </a:r>
          <a:r>
            <a:rPr lang="en-US" sz="1200" b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de acuerdo al tipo de trabajador.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Si el trabajador es </a:t>
          </a:r>
          <a:r>
            <a:rPr lang="en-US" sz="1200" b="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Estable</a:t>
          </a:r>
          <a:r>
            <a:rPr lang="en-US" sz="1200" b="1" i="1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obtendrá un monto fijo de </a:t>
          </a:r>
          <a:r>
            <a:rPr lang="en-US" sz="1200" b="1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300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en caso sea de </a:t>
          </a:r>
          <a:r>
            <a:rPr lang="en-US" sz="1200" b="1" i="1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Destajo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se pagará </a:t>
          </a:r>
          <a:r>
            <a:rPr lang="en-US" sz="1200" b="1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5%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por unidad producida. </a:t>
          </a:r>
          <a:endParaRPr sz="1200" b="1">
            <a:solidFill>
              <a:srgbClr val="E84F13"/>
            </a:solidFill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  <xdr:oneCellAnchor>
    <xdr:from>
      <xdr:col>9</xdr:col>
      <xdr:colOff>381000</xdr:colOff>
      <xdr:row>22</xdr:row>
      <xdr:rowOff>152400</xdr:rowOff>
    </xdr:from>
    <xdr:ext cx="5610225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50413" y="3441863"/>
          <a:ext cx="5591175" cy="676275"/>
        </a:xfrm>
        <a:prstGeom prst="rect">
          <a:avLst/>
        </a:prstGeom>
        <a:solidFill>
          <a:schemeClr val="lt1"/>
        </a:solidFill>
        <a:ln w="19050" cap="flat" cmpd="sng">
          <a:solidFill>
            <a:srgbClr val="78DAD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Segunda tarea: Se pide determinar la </a:t>
          </a:r>
          <a:r>
            <a:rPr lang="en-US" sz="1200" b="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Bonificación,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se dará a todo trabajador que tenga una producción </a:t>
          </a:r>
          <a:r>
            <a:rPr lang="en-US" sz="1200" b="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por encima de las 200 unidades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y será del 10% del monto.</a:t>
          </a:r>
          <a:endParaRPr sz="1200" b="0" i="0">
            <a:solidFill>
              <a:srgbClr val="E84F13"/>
            </a:solidFill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  <xdr:oneCellAnchor>
    <xdr:from>
      <xdr:col>9</xdr:col>
      <xdr:colOff>390525</xdr:colOff>
      <xdr:row>26</xdr:row>
      <xdr:rowOff>85725</xdr:rowOff>
    </xdr:from>
    <xdr:ext cx="5619750" cy="7429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545650" y="3418050"/>
          <a:ext cx="5600700" cy="723900"/>
        </a:xfrm>
        <a:prstGeom prst="rect">
          <a:avLst/>
        </a:prstGeom>
        <a:solidFill>
          <a:schemeClr val="lt1"/>
        </a:solidFill>
        <a:ln w="19050" cap="flat" cmpd="sng">
          <a:solidFill>
            <a:srgbClr val="78DAD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Tercera tarea: Se pide mostrar que el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Estado</a:t>
          </a:r>
          <a:r>
            <a:rPr lang="en-US" sz="120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 sea </a:t>
          </a:r>
          <a:r>
            <a:rPr lang="en-US" sz="1200" b="1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Normal</a:t>
          </a:r>
          <a:r>
            <a:rPr lang="en-US" sz="120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 si el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promedio</a:t>
          </a:r>
          <a:r>
            <a:rPr lang="en-US" sz="120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 </a:t>
          </a:r>
          <a:r>
            <a:rPr lang="en-US" sz="120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de las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unidades producidas</a:t>
          </a:r>
          <a:r>
            <a:rPr lang="en-US" sz="120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 es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mayor a 190</a:t>
          </a:r>
          <a:r>
            <a:rPr lang="en-US" sz="120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. </a:t>
          </a:r>
          <a:r>
            <a:rPr lang="en-US" sz="120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En caso contrario, debe mostrarse como </a:t>
          </a:r>
          <a:r>
            <a:rPr lang="en-US" sz="1200" b="1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Producción Baja</a:t>
          </a:r>
          <a:endParaRPr sz="1200" b="1" i="0">
            <a:solidFill>
              <a:srgbClr val="E84F13"/>
            </a:solidFill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  <xdr:oneCellAnchor>
    <xdr:from>
      <xdr:col>10</xdr:col>
      <xdr:colOff>400050</xdr:colOff>
      <xdr:row>37</xdr:row>
      <xdr:rowOff>9525</xdr:rowOff>
    </xdr:from>
    <xdr:ext cx="4638675" cy="704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036188" y="3437100"/>
          <a:ext cx="4619625" cy="685800"/>
        </a:xfrm>
        <a:prstGeom prst="rect">
          <a:avLst/>
        </a:prstGeom>
        <a:solidFill>
          <a:schemeClr val="lt1"/>
        </a:solidFill>
        <a:ln w="19050" cap="flat" cmpd="sng">
          <a:solidFill>
            <a:srgbClr val="78DAD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Primera tarea: Se pide calcular el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Monto,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de acuerdo al tipo de zona.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Si el tipo es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Urbano</a:t>
          </a:r>
          <a:r>
            <a:rPr lang="en-US" sz="1200" b="1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será de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30</a:t>
          </a:r>
          <a:r>
            <a:rPr lang="en-US" sz="1200" b="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y si es de tipo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Zonal</a:t>
          </a:r>
          <a:r>
            <a:rPr lang="en-US" sz="1200" b="1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sera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40</a:t>
          </a:r>
          <a:r>
            <a:rPr lang="en-US" sz="1200" b="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. </a:t>
          </a:r>
          <a:endParaRPr sz="1200" b="1" i="0">
            <a:solidFill>
              <a:srgbClr val="FF6060"/>
            </a:solidFill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  <xdr:oneCellAnchor>
    <xdr:from>
      <xdr:col>10</xdr:col>
      <xdr:colOff>400050</xdr:colOff>
      <xdr:row>40</xdr:row>
      <xdr:rowOff>161925</xdr:rowOff>
    </xdr:from>
    <xdr:ext cx="4667250" cy="704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021900" y="3437100"/>
          <a:ext cx="4648200" cy="685800"/>
        </a:xfrm>
        <a:prstGeom prst="rect">
          <a:avLst/>
        </a:prstGeom>
        <a:solidFill>
          <a:schemeClr val="lt1"/>
        </a:solidFill>
        <a:ln w="19050" cap="flat" cmpd="sng">
          <a:solidFill>
            <a:srgbClr val="78DAD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Segunda tarea: Se pide determinar el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Recargo1,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será de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10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en caso las guías tengan una condición de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Frágil</a:t>
          </a:r>
          <a:r>
            <a:rPr lang="en-US" sz="1200" b="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.</a:t>
          </a:r>
          <a:endParaRPr sz="1200" b="1" i="0">
            <a:solidFill>
              <a:srgbClr val="FF6060"/>
            </a:solidFill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  <xdr:oneCellAnchor>
    <xdr:from>
      <xdr:col>10</xdr:col>
      <xdr:colOff>400050</xdr:colOff>
      <xdr:row>44</xdr:row>
      <xdr:rowOff>85725</xdr:rowOff>
    </xdr:from>
    <xdr:ext cx="4676775" cy="7048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017138" y="3437100"/>
          <a:ext cx="4657725" cy="685800"/>
        </a:xfrm>
        <a:prstGeom prst="rect">
          <a:avLst/>
        </a:prstGeom>
        <a:solidFill>
          <a:schemeClr val="lt1"/>
        </a:solidFill>
        <a:ln w="19050" cap="flat" cmpd="sng">
          <a:solidFill>
            <a:srgbClr val="78DAD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Tercera tarea: Se pide determinar el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Recargo2</a:t>
          </a:r>
          <a:r>
            <a:rPr lang="en-US" sz="1200" b="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,</a:t>
          </a:r>
          <a:r>
            <a:rPr lang="en-US" sz="120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 </a:t>
          </a:r>
          <a:r>
            <a:rPr lang="en-US" sz="120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será a las guías que excedan de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50</a:t>
          </a:r>
          <a:r>
            <a:rPr lang="en-US" sz="120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 kilos y se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cobrará 1.5 por cada kilo en exceso</a:t>
          </a:r>
          <a:r>
            <a:rPr lang="en-US" sz="120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.</a:t>
          </a:r>
          <a:endParaRPr sz="1200" b="1" i="0">
            <a:solidFill>
              <a:srgbClr val="FF6060"/>
            </a:solidFill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  <xdr:oneCellAnchor>
    <xdr:from>
      <xdr:col>2</xdr:col>
      <xdr:colOff>304800</xdr:colOff>
      <xdr:row>0</xdr:row>
      <xdr:rowOff>142875</xdr:rowOff>
    </xdr:from>
    <xdr:ext cx="3810000" cy="1038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733425</xdr:colOff>
      <xdr:row>1</xdr:row>
      <xdr:rowOff>142875</xdr:rowOff>
    </xdr:from>
    <xdr:ext cx="3667125" cy="64770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819150</xdr:colOff>
      <xdr:row>13</xdr:row>
      <xdr:rowOff>152400</xdr:rowOff>
    </xdr:from>
    <xdr:ext cx="3895725" cy="2857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3402900" y="3641888"/>
          <a:ext cx="3886200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=Y(VALOR_LÓGICO1, [VALOR_LÓGICO2])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23</xdr:row>
      <xdr:rowOff>161925</xdr:rowOff>
    </xdr:from>
    <xdr:ext cx="5000625" cy="8191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855213" y="3375188"/>
          <a:ext cx="4981575" cy="809625"/>
        </a:xfrm>
        <a:prstGeom prst="rect">
          <a:avLst/>
        </a:prstGeom>
        <a:solidFill>
          <a:schemeClr val="lt1"/>
        </a:solidFill>
        <a:ln w="19050" cap="flat" cmpd="sng">
          <a:solidFill>
            <a:srgbClr val="78DAD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Tarea: Se pide evaluar al personal para poder contratarlo. Para ello, debe estar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titulado</a:t>
          </a:r>
          <a:r>
            <a:rPr lang="en-US" sz="1200" b="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,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debe tener </a:t>
          </a:r>
          <a:r>
            <a:rPr lang="en-US" sz="1200" b="1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más de 2 años de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experiencia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y debe tener hasta</a:t>
          </a:r>
          <a:r>
            <a:rPr lang="en-US" sz="1200" b="1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35 años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para mostrar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Contratar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, caso contrario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No Apto.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5000625" cy="9525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2855213" y="3313275"/>
          <a:ext cx="4981575" cy="933450"/>
        </a:xfrm>
        <a:prstGeom prst="rect">
          <a:avLst/>
        </a:prstGeom>
        <a:solidFill>
          <a:schemeClr val="lt1"/>
        </a:solidFill>
        <a:ln w="19050" cap="flat" cmpd="sng">
          <a:solidFill>
            <a:srgbClr val="78DAD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Tarea: Determinar la bonificación de los trabajadores. Para recibirlo, el personal debe ser del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área de Logística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, la edad sea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mayor que 31 años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y debe tener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más de 2 hijos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. Si cumple todas las condiciones, recibirá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700,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caso contrario</a:t>
          </a:r>
          <a:r>
            <a:rPr lang="en-US" sz="1200" b="1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420.</a:t>
          </a:r>
          <a:endParaRPr sz="1400"/>
        </a:p>
      </xdr:txBody>
    </xdr:sp>
    <xdr:clientData fLocksWithSheet="0"/>
  </xdr:oneCellAnchor>
  <xdr:oneCellAnchor>
    <xdr:from>
      <xdr:col>8</xdr:col>
      <xdr:colOff>47625</xdr:colOff>
      <xdr:row>47</xdr:row>
      <xdr:rowOff>38100</xdr:rowOff>
    </xdr:from>
    <xdr:ext cx="5000625" cy="7239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2855213" y="3427575"/>
          <a:ext cx="4981575" cy="704850"/>
        </a:xfrm>
        <a:prstGeom prst="rect">
          <a:avLst/>
        </a:prstGeom>
        <a:solidFill>
          <a:schemeClr val="lt1"/>
        </a:solidFill>
        <a:ln w="19050" cap="flat" cmpd="sng">
          <a:solidFill>
            <a:srgbClr val="78DAD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Tarea: Determinar el estado de los alumnos. Para obtener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Aprobado</a:t>
          </a:r>
          <a:r>
            <a:rPr lang="en-US" sz="1200" b="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,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los alumnos deben haber obtenido una nota igual o mayor a 11 en todas las prácticas. Caso contrario, deberá mostrar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Desaprobado.</a:t>
          </a:r>
          <a:endParaRPr sz="1400"/>
        </a:p>
      </xdr:txBody>
    </xdr:sp>
    <xdr:clientData fLocksWithSheet="0"/>
  </xdr:oneCellAnchor>
  <xdr:oneCellAnchor>
    <xdr:from>
      <xdr:col>2</xdr:col>
      <xdr:colOff>314325</xdr:colOff>
      <xdr:row>0</xdr:row>
      <xdr:rowOff>142875</xdr:rowOff>
    </xdr:from>
    <xdr:ext cx="3810000" cy="10382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561975</xdr:colOff>
      <xdr:row>2</xdr:row>
      <xdr:rowOff>57150</xdr:rowOff>
    </xdr:from>
    <xdr:ext cx="3695700" cy="6667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752475</xdr:colOff>
      <xdr:row>13</xdr:row>
      <xdr:rowOff>161925</xdr:rowOff>
    </xdr:from>
    <xdr:ext cx="3952875" cy="2857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3374325" y="3641888"/>
          <a:ext cx="3943350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=O(VALOR_LÓGICO1, [VALOR_LÓGICO2])</a:t>
          </a:r>
          <a:endParaRPr sz="1400"/>
        </a:p>
      </xdr:txBody>
    </xdr:sp>
    <xdr:clientData fLocksWithSheet="0"/>
  </xdr:oneCellAnchor>
  <xdr:oneCellAnchor>
    <xdr:from>
      <xdr:col>7</xdr:col>
      <xdr:colOff>219075</xdr:colOff>
      <xdr:row>20</xdr:row>
      <xdr:rowOff>171450</xdr:rowOff>
    </xdr:from>
    <xdr:ext cx="3143250" cy="7524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3783900" y="3413288"/>
          <a:ext cx="3124200" cy="733425"/>
        </a:xfrm>
        <a:prstGeom prst="rect">
          <a:avLst/>
        </a:prstGeom>
        <a:solidFill>
          <a:schemeClr val="lt1"/>
        </a:solidFill>
        <a:ln w="19050" cap="flat" cmpd="sng">
          <a:solidFill>
            <a:srgbClr val="78DAD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Tarea: Determinar la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bonificación</a:t>
          </a:r>
          <a:r>
            <a:rPr lang="en-US" sz="1200" b="1" i="0">
              <a:solidFill>
                <a:srgbClr val="E84F13"/>
              </a:solidFill>
              <a:latin typeface="Inter"/>
              <a:ea typeface="Inter"/>
              <a:cs typeface="Inter"/>
              <a:sym typeface="Inter"/>
            </a:rPr>
            <a:t>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de 90 soles para los trabajadores que sean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casados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 o que tengan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hijos</a:t>
          </a:r>
          <a:r>
            <a:rPr lang="en-US" sz="1200" b="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.</a:t>
          </a:r>
          <a:endParaRPr sz="1200" b="0" i="0">
            <a:solidFill>
              <a:srgbClr val="FF6060"/>
            </a:solidFill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  <xdr:oneCellAnchor>
    <xdr:from>
      <xdr:col>8</xdr:col>
      <xdr:colOff>219075</xdr:colOff>
      <xdr:row>33</xdr:row>
      <xdr:rowOff>19050</xdr:rowOff>
    </xdr:from>
    <xdr:ext cx="3333750" cy="10572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3688650" y="3260888"/>
          <a:ext cx="3314700" cy="1038225"/>
        </a:xfrm>
        <a:prstGeom prst="rect">
          <a:avLst/>
        </a:prstGeom>
        <a:solidFill>
          <a:schemeClr val="lt1"/>
        </a:solidFill>
        <a:ln w="19050" cap="flat" cmpd="sng">
          <a:solidFill>
            <a:srgbClr val="78DAD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>
              <a:solidFill>
                <a:schemeClr val="dk1"/>
              </a:solidFill>
              <a:latin typeface="Inter"/>
              <a:ea typeface="Inter"/>
              <a:cs typeface="Inter"/>
              <a:sym typeface="Inter"/>
            </a:rPr>
            <a:t>Tarea: Determinar el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estado para rendir el examen final</a:t>
          </a:r>
          <a:r>
            <a:rPr lang="en-US" sz="1200" b="0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.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Para ello, será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Apto</a:t>
          </a:r>
          <a:r>
            <a:rPr lang="en-US" sz="1200" b="1" i="0">
              <a:solidFill>
                <a:srgbClr val="E84F13"/>
              </a:solidFill>
              <a:latin typeface="Inter"/>
              <a:ea typeface="Inter"/>
              <a:cs typeface="Inter"/>
              <a:sym typeface="Inter"/>
            </a:rPr>
            <a:t> </a:t>
          </a:r>
          <a:r>
            <a:rPr lang="en-US" sz="1200" b="0" i="0">
              <a:solidFill>
                <a:srgbClr val="000000"/>
              </a:solidFill>
              <a:latin typeface="Inter"/>
              <a:ea typeface="Inter"/>
              <a:cs typeface="Inter"/>
              <a:sym typeface="Inter"/>
            </a:rPr>
            <a:t>aquel alumno cuya nota sea &gt;=7 en cualquiera de las prácticas realizadas. Caso contrario, será calificado como </a:t>
          </a:r>
          <a:r>
            <a:rPr lang="en-US" sz="1200" b="1" i="0">
              <a:solidFill>
                <a:srgbClr val="FF6060"/>
              </a:solidFill>
              <a:latin typeface="Inter"/>
              <a:ea typeface="Inter"/>
              <a:cs typeface="Inter"/>
              <a:sym typeface="Inter"/>
            </a:rPr>
            <a:t>No Apto.</a:t>
          </a:r>
          <a:endParaRPr sz="1200" b="1" i="0">
            <a:solidFill>
              <a:srgbClr val="FF6060"/>
            </a:solidFill>
            <a:latin typeface="Inter"/>
            <a:ea typeface="Inter"/>
            <a:cs typeface="Inter"/>
            <a:sym typeface="Inter"/>
          </a:endParaRPr>
        </a:p>
      </xdr:txBody>
    </xdr:sp>
    <xdr:clientData fLocksWithSheet="0"/>
  </xdr:oneCellAnchor>
  <xdr:oneCellAnchor>
    <xdr:from>
      <xdr:col>2</xdr:col>
      <xdr:colOff>390525</xdr:colOff>
      <xdr:row>0</xdr:row>
      <xdr:rowOff>142875</xdr:rowOff>
    </xdr:from>
    <xdr:ext cx="3819525" cy="10382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390525</xdr:colOff>
      <xdr:row>1</xdr:row>
      <xdr:rowOff>76200</xdr:rowOff>
    </xdr:from>
    <xdr:ext cx="3648075" cy="638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showGridLines="0" topLeftCell="C23" zoomScale="85" zoomScaleNormal="85" workbookViewId="0">
      <selection activeCell="I41" sqref="I41"/>
    </sheetView>
  </sheetViews>
  <sheetFormatPr baseColWidth="10" defaultColWidth="12.625" defaultRowHeight="15" customHeight="1"/>
  <cols>
    <col min="1" max="1" width="7.625" customWidth="1"/>
    <col min="2" max="2" width="3" customWidth="1"/>
    <col min="3" max="3" width="9.625" customWidth="1"/>
    <col min="4" max="4" width="9.125" customWidth="1"/>
    <col min="5" max="5" width="8" customWidth="1"/>
    <col min="6" max="6" width="8.625" customWidth="1"/>
    <col min="7" max="7" width="13.75" customWidth="1"/>
    <col min="8" max="8" width="8.25" customWidth="1"/>
    <col min="9" max="9" width="11.75" customWidth="1"/>
    <col min="10" max="10" width="12.125" customWidth="1"/>
    <col min="11" max="11" width="9.625" customWidth="1"/>
    <col min="12" max="12" width="10.875" customWidth="1"/>
    <col min="13" max="15" width="10" customWidth="1"/>
    <col min="16" max="16" width="12.5" customWidth="1"/>
    <col min="17" max="26" width="9.375" customWidth="1"/>
  </cols>
  <sheetData>
    <row r="1" spans="1:20">
      <c r="A1" s="1"/>
    </row>
    <row r="2" spans="1:20">
      <c r="A2" s="1"/>
    </row>
    <row r="3" spans="1:20">
      <c r="A3" s="1"/>
    </row>
    <row r="4" spans="1:20">
      <c r="A4" s="1"/>
    </row>
    <row r="5" spans="1:20">
      <c r="A5" s="1"/>
    </row>
    <row r="6" spans="1:20">
      <c r="A6" s="1"/>
    </row>
    <row r="7" spans="1:20">
      <c r="A7" s="1"/>
    </row>
    <row r="8" spans="1:20">
      <c r="A8" s="1"/>
    </row>
    <row r="9" spans="1:20" ht="36.75" customHeight="1">
      <c r="A9" s="1"/>
      <c r="C9" s="2" t="s"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2"/>
      <c r="P9" s="3"/>
      <c r="Q9" s="3"/>
      <c r="R9" s="3"/>
    </row>
    <row r="10" spans="1:20">
      <c r="A10" s="1"/>
      <c r="C10" s="4"/>
    </row>
    <row r="11" spans="1:20" ht="20.25">
      <c r="A11" s="1"/>
      <c r="H11" s="5" t="s">
        <v>1</v>
      </c>
    </row>
    <row r="12" spans="1:20" ht="7.5" customHeight="1">
      <c r="A12" s="1"/>
    </row>
    <row r="13" spans="1:20" ht="15.75">
      <c r="A13" s="1"/>
      <c r="C13" s="6" t="s">
        <v>2</v>
      </c>
      <c r="D13" s="7" t="s">
        <v>3</v>
      </c>
    </row>
    <row r="14" spans="1:20" ht="15.75">
      <c r="A14" s="1"/>
      <c r="C14" s="6"/>
    </row>
    <row r="15" spans="1:20" ht="17.25">
      <c r="A15" s="1"/>
      <c r="C15" s="6" t="s">
        <v>4</v>
      </c>
      <c r="D15" s="8"/>
    </row>
    <row r="16" spans="1:20" ht="15.75">
      <c r="A16" s="1"/>
      <c r="C16" s="6"/>
      <c r="P16" s="9"/>
      <c r="T16" s="10"/>
    </row>
    <row r="17" spans="1:16" ht="15.75">
      <c r="A17" s="1"/>
      <c r="C17" s="6" t="s">
        <v>5</v>
      </c>
      <c r="H17" s="11"/>
      <c r="M17" s="11"/>
      <c r="P17" s="11"/>
    </row>
    <row r="18" spans="1:16" ht="15.75">
      <c r="A18" s="1"/>
      <c r="C18" s="6"/>
    </row>
    <row r="19" spans="1:16" ht="47.25">
      <c r="A19" s="1"/>
      <c r="C19" s="6"/>
      <c r="D19" s="12" t="s">
        <v>6</v>
      </c>
      <c r="E19" s="12" t="s">
        <v>7</v>
      </c>
      <c r="F19" s="12" t="s">
        <v>8</v>
      </c>
      <c r="G19" s="13" t="s">
        <v>9</v>
      </c>
      <c r="H19" s="12" t="s">
        <v>10</v>
      </c>
      <c r="I19" s="12" t="s">
        <v>11</v>
      </c>
      <c r="K19" s="14"/>
      <c r="L19" s="14"/>
      <c r="M19" s="14"/>
      <c r="N19" s="14"/>
      <c r="O19" s="14"/>
    </row>
    <row r="20" spans="1:16" ht="17.25">
      <c r="A20" s="1"/>
      <c r="C20" s="6"/>
      <c r="D20" s="15" t="s">
        <v>12</v>
      </c>
      <c r="E20" s="15" t="s">
        <v>13</v>
      </c>
      <c r="F20" s="15">
        <v>2</v>
      </c>
      <c r="G20" s="15">
        <v>190</v>
      </c>
      <c r="H20" s="15">
        <f>IF(E20="Estable",300,5%*G20)</f>
        <v>300</v>
      </c>
      <c r="I20" s="15">
        <f>IF(G20&gt;200,10%*H20,0)</f>
        <v>0</v>
      </c>
      <c r="J20" s="16"/>
    </row>
    <row r="21" spans="1:16" ht="17.25" customHeight="1">
      <c r="A21" s="1"/>
      <c r="C21" s="6"/>
      <c r="D21" s="15" t="s">
        <v>14</v>
      </c>
      <c r="E21" s="15" t="s">
        <v>15</v>
      </c>
      <c r="F21" s="15">
        <v>1</v>
      </c>
      <c r="G21" s="15">
        <v>205</v>
      </c>
      <c r="H21" s="15">
        <f t="shared" ref="H21:H30" si="0">IF(E21="Estable",300,5%*G21)</f>
        <v>10.25</v>
      </c>
      <c r="I21" s="22">
        <f t="shared" ref="I21:I30" si="1">IF(G21&gt;200,10%*H21,0)</f>
        <v>1.0250000000000001</v>
      </c>
      <c r="J21" s="16"/>
      <c r="L21" s="4"/>
    </row>
    <row r="22" spans="1:16" ht="17.25" customHeight="1">
      <c r="A22" s="1"/>
      <c r="C22" s="6"/>
      <c r="D22" s="15" t="s">
        <v>16</v>
      </c>
      <c r="E22" s="15" t="s">
        <v>13</v>
      </c>
      <c r="F22" s="15">
        <v>2</v>
      </c>
      <c r="G22" s="15">
        <v>187</v>
      </c>
      <c r="H22" s="15">
        <f t="shared" si="0"/>
        <v>300</v>
      </c>
      <c r="I22" s="15">
        <f t="shared" si="1"/>
        <v>0</v>
      </c>
      <c r="J22" s="16"/>
      <c r="L22" s="4"/>
    </row>
    <row r="23" spans="1:16" ht="17.25" customHeight="1">
      <c r="A23" s="1"/>
      <c r="C23" s="6"/>
      <c r="D23" s="15" t="s">
        <v>17</v>
      </c>
      <c r="E23" s="15" t="s">
        <v>15</v>
      </c>
      <c r="F23" s="15">
        <v>2</v>
      </c>
      <c r="G23" s="15">
        <v>201</v>
      </c>
      <c r="H23" s="15">
        <f t="shared" si="0"/>
        <v>10.050000000000001</v>
      </c>
      <c r="I23" s="22">
        <f t="shared" si="1"/>
        <v>1.0050000000000001</v>
      </c>
      <c r="J23" s="16"/>
      <c r="L23" s="4"/>
    </row>
    <row r="24" spans="1:16" ht="17.25" customHeight="1">
      <c r="A24" s="1"/>
      <c r="C24" s="6"/>
      <c r="D24" s="15" t="s">
        <v>18</v>
      </c>
      <c r="E24" s="15" t="s">
        <v>15</v>
      </c>
      <c r="F24" s="15">
        <v>2</v>
      </c>
      <c r="G24" s="15">
        <v>206</v>
      </c>
      <c r="H24" s="15">
        <f t="shared" si="0"/>
        <v>10.3</v>
      </c>
      <c r="I24" s="22">
        <f t="shared" si="1"/>
        <v>1.03</v>
      </c>
      <c r="J24" s="16"/>
      <c r="L24" s="4"/>
    </row>
    <row r="25" spans="1:16" ht="15.75" customHeight="1">
      <c r="A25" s="1"/>
      <c r="C25" s="6"/>
      <c r="D25" s="15" t="s">
        <v>19</v>
      </c>
      <c r="E25" s="15" t="s">
        <v>15</v>
      </c>
      <c r="F25" s="15">
        <v>1</v>
      </c>
      <c r="G25" s="15">
        <v>190</v>
      </c>
      <c r="H25" s="15">
        <f t="shared" si="0"/>
        <v>9.5</v>
      </c>
      <c r="I25" s="15">
        <f t="shared" si="1"/>
        <v>0</v>
      </c>
      <c r="J25" s="16"/>
    </row>
    <row r="26" spans="1:16" ht="15.75" customHeight="1">
      <c r="A26" s="1"/>
      <c r="C26" s="6"/>
      <c r="D26" s="15" t="s">
        <v>20</v>
      </c>
      <c r="E26" s="15" t="s">
        <v>13</v>
      </c>
      <c r="F26" s="15">
        <v>1</v>
      </c>
      <c r="G26" s="15">
        <v>200</v>
      </c>
      <c r="H26" s="15">
        <f t="shared" si="0"/>
        <v>300</v>
      </c>
      <c r="I26" s="15">
        <f t="shared" si="1"/>
        <v>0</v>
      </c>
      <c r="J26" s="16"/>
    </row>
    <row r="27" spans="1:16" ht="15.75" customHeight="1">
      <c r="A27" s="1"/>
      <c r="C27" s="6"/>
      <c r="D27" s="15" t="s">
        <v>21</v>
      </c>
      <c r="E27" s="15" t="s">
        <v>13</v>
      </c>
      <c r="F27" s="15">
        <v>1</v>
      </c>
      <c r="G27" s="15">
        <v>205</v>
      </c>
      <c r="H27" s="15">
        <f t="shared" si="0"/>
        <v>300</v>
      </c>
      <c r="I27" s="15">
        <f t="shared" si="1"/>
        <v>30</v>
      </c>
      <c r="J27" s="16"/>
    </row>
    <row r="28" spans="1:16" ht="15.75" customHeight="1">
      <c r="A28" s="1"/>
      <c r="C28" s="6"/>
      <c r="D28" s="15" t="s">
        <v>22</v>
      </c>
      <c r="E28" s="15" t="s">
        <v>15</v>
      </c>
      <c r="F28" s="15">
        <v>2</v>
      </c>
      <c r="G28" s="15">
        <v>190</v>
      </c>
      <c r="H28" s="15">
        <f t="shared" si="0"/>
        <v>9.5</v>
      </c>
      <c r="I28" s="15">
        <f t="shared" si="1"/>
        <v>0</v>
      </c>
      <c r="J28" s="16"/>
    </row>
    <row r="29" spans="1:16" ht="15.75" customHeight="1">
      <c r="A29" s="1"/>
      <c r="C29" s="6"/>
      <c r="D29" s="15" t="s">
        <v>23</v>
      </c>
      <c r="E29" s="15" t="s">
        <v>15</v>
      </c>
      <c r="F29" s="15">
        <v>1</v>
      </c>
      <c r="G29" s="15">
        <v>186</v>
      </c>
      <c r="H29" s="15">
        <f t="shared" si="0"/>
        <v>9.3000000000000007</v>
      </c>
      <c r="I29" s="15">
        <f t="shared" si="1"/>
        <v>0</v>
      </c>
      <c r="J29" s="16"/>
    </row>
    <row r="30" spans="1:16" ht="15.75" customHeight="1">
      <c r="A30" s="1"/>
      <c r="C30" s="6"/>
      <c r="D30" s="15" t="s">
        <v>24</v>
      </c>
      <c r="E30" s="15" t="s">
        <v>13</v>
      </c>
      <c r="F30" s="15">
        <v>1</v>
      </c>
      <c r="G30" s="15">
        <v>206</v>
      </c>
      <c r="H30" s="15">
        <f t="shared" si="0"/>
        <v>300</v>
      </c>
      <c r="I30" s="15">
        <f t="shared" si="1"/>
        <v>30</v>
      </c>
      <c r="J30" s="16"/>
    </row>
    <row r="31" spans="1:16" ht="15.75" customHeight="1">
      <c r="A31" s="1"/>
      <c r="C31" s="6"/>
    </row>
    <row r="32" spans="1:16" ht="15.75" customHeight="1">
      <c r="A32" s="1"/>
      <c r="C32" s="6"/>
      <c r="F32" s="13" t="s">
        <v>25</v>
      </c>
      <c r="G32" s="23" t="str">
        <f>IF(AVERAGE(G20:G30)&lt;190," Normal","Producción baja")</f>
        <v>Producción baja</v>
      </c>
      <c r="H32" s="24"/>
    </row>
    <row r="33" spans="1:16" ht="15.75" customHeight="1">
      <c r="A33" s="1"/>
      <c r="C33" s="6"/>
      <c r="F33" s="16"/>
      <c r="G33" s="16"/>
    </row>
    <row r="34" spans="1:16" ht="15.75" customHeight="1">
      <c r="A34" s="1"/>
      <c r="C34" s="6"/>
      <c r="F34" s="16"/>
      <c r="G34" s="16"/>
    </row>
    <row r="35" spans="1:16" ht="15.75" customHeight="1">
      <c r="A35" s="1"/>
      <c r="C35" s="6" t="s">
        <v>26</v>
      </c>
      <c r="H35" s="11"/>
      <c r="M35" s="11"/>
      <c r="P35" s="11"/>
    </row>
    <row r="36" spans="1:16" ht="15.75" customHeight="1">
      <c r="A36" s="1"/>
      <c r="C36" s="6"/>
    </row>
    <row r="37" spans="1:16" ht="39" customHeight="1">
      <c r="A37" s="1"/>
      <c r="C37" s="6"/>
      <c r="D37" s="12" t="s">
        <v>27</v>
      </c>
      <c r="E37" s="12" t="s">
        <v>28</v>
      </c>
      <c r="F37" s="12" t="s">
        <v>7</v>
      </c>
      <c r="G37" s="13" t="s">
        <v>29</v>
      </c>
      <c r="H37" s="12" t="s">
        <v>10</v>
      </c>
      <c r="I37" s="12" t="s">
        <v>30</v>
      </c>
      <c r="J37" s="12" t="s">
        <v>31</v>
      </c>
      <c r="K37" s="14"/>
      <c r="L37" s="14"/>
      <c r="M37" s="14"/>
      <c r="N37" s="14"/>
      <c r="O37" s="14"/>
    </row>
    <row r="38" spans="1:16" ht="17.25" customHeight="1">
      <c r="A38" s="1"/>
      <c r="D38" s="15" t="s">
        <v>32</v>
      </c>
      <c r="E38" s="15">
        <v>65</v>
      </c>
      <c r="F38" s="15" t="s">
        <v>33</v>
      </c>
      <c r="G38" s="15" t="s">
        <v>34</v>
      </c>
      <c r="H38" s="15">
        <f>IF(F38="Urbano",30,IF(F38="zonal",40,0))</f>
        <v>30</v>
      </c>
      <c r="I38" s="15"/>
      <c r="J38" s="15"/>
    </row>
    <row r="39" spans="1:16" ht="17.25" customHeight="1">
      <c r="A39" s="1"/>
      <c r="D39" s="15" t="s">
        <v>35</v>
      </c>
      <c r="E39" s="15">
        <v>48</v>
      </c>
      <c r="F39" s="15" t="s">
        <v>36</v>
      </c>
      <c r="G39" s="15" t="s">
        <v>37</v>
      </c>
      <c r="H39" s="15">
        <f t="shared" ref="H39:H48" si="2">IF(F39="Urbano",30,IF(F39="zonal",40,0))</f>
        <v>40</v>
      </c>
      <c r="I39" s="15"/>
      <c r="J39" s="15"/>
      <c r="L39" s="4"/>
    </row>
    <row r="40" spans="1:16" ht="17.25" customHeight="1">
      <c r="A40" s="1"/>
      <c r="D40" s="15" t="s">
        <v>38</v>
      </c>
      <c r="E40" s="15">
        <v>60</v>
      </c>
      <c r="F40" s="15" t="s">
        <v>33</v>
      </c>
      <c r="G40" s="15" t="s">
        <v>34</v>
      </c>
      <c r="H40" s="15">
        <f t="shared" si="2"/>
        <v>30</v>
      </c>
      <c r="I40" s="15"/>
      <c r="J40" s="15"/>
      <c r="L40" s="4"/>
    </row>
    <row r="41" spans="1:16" ht="17.25" customHeight="1">
      <c r="A41" s="1"/>
      <c r="D41" s="15" t="s">
        <v>39</v>
      </c>
      <c r="E41" s="15">
        <v>45</v>
      </c>
      <c r="F41" s="15" t="s">
        <v>36</v>
      </c>
      <c r="G41" s="15" t="s">
        <v>34</v>
      </c>
      <c r="H41" s="15">
        <f t="shared" si="2"/>
        <v>40</v>
      </c>
      <c r="I41" s="15"/>
      <c r="J41" s="15"/>
      <c r="L41" s="4"/>
    </row>
    <row r="42" spans="1:16" ht="17.25" customHeight="1">
      <c r="A42" s="1"/>
      <c r="D42" s="15" t="s">
        <v>40</v>
      </c>
      <c r="E42" s="15">
        <v>60</v>
      </c>
      <c r="F42" s="15" t="s">
        <v>36</v>
      </c>
      <c r="G42" s="15" t="s">
        <v>37</v>
      </c>
      <c r="H42" s="15">
        <f t="shared" si="2"/>
        <v>40</v>
      </c>
      <c r="I42" s="15"/>
      <c r="J42" s="15"/>
      <c r="L42" s="4"/>
    </row>
    <row r="43" spans="1:16" ht="17.25" customHeight="1">
      <c r="A43" s="1"/>
      <c r="D43" s="15" t="s">
        <v>41</v>
      </c>
      <c r="E43" s="15">
        <v>63</v>
      </c>
      <c r="F43" s="15" t="s">
        <v>33</v>
      </c>
      <c r="G43" s="15" t="s">
        <v>37</v>
      </c>
      <c r="H43" s="15">
        <f t="shared" si="2"/>
        <v>30</v>
      </c>
      <c r="I43" s="15"/>
      <c r="J43" s="15"/>
    </row>
    <row r="44" spans="1:16" ht="17.25" customHeight="1">
      <c r="A44" s="1"/>
      <c r="D44" s="15" t="s">
        <v>42</v>
      </c>
      <c r="E44" s="15">
        <v>45</v>
      </c>
      <c r="F44" s="15" t="s">
        <v>33</v>
      </c>
      <c r="G44" s="15" t="s">
        <v>37</v>
      </c>
      <c r="H44" s="15">
        <f t="shared" si="2"/>
        <v>30</v>
      </c>
      <c r="I44" s="15"/>
      <c r="J44" s="15"/>
    </row>
    <row r="45" spans="1:16" ht="17.25" customHeight="1">
      <c r="A45" s="1"/>
      <c r="D45" s="15" t="s">
        <v>43</v>
      </c>
      <c r="E45" s="15">
        <v>63</v>
      </c>
      <c r="F45" s="15" t="s">
        <v>33</v>
      </c>
      <c r="G45" s="15" t="s">
        <v>37</v>
      </c>
      <c r="H45" s="15">
        <f t="shared" si="2"/>
        <v>30</v>
      </c>
      <c r="I45" s="15"/>
      <c r="J45" s="15"/>
    </row>
    <row r="46" spans="1:16" ht="17.25" customHeight="1">
      <c r="A46" s="1"/>
      <c r="D46" s="15" t="s">
        <v>44</v>
      </c>
      <c r="E46" s="15">
        <v>48</v>
      </c>
      <c r="F46" s="15" t="s">
        <v>36</v>
      </c>
      <c r="G46" s="15" t="s">
        <v>34</v>
      </c>
      <c r="H46" s="15">
        <f t="shared" si="2"/>
        <v>40</v>
      </c>
      <c r="I46" s="15"/>
      <c r="J46" s="15"/>
    </row>
    <row r="47" spans="1:16" ht="17.25" customHeight="1">
      <c r="A47" s="1"/>
      <c r="D47" s="15" t="s">
        <v>45</v>
      </c>
      <c r="E47" s="15">
        <v>55</v>
      </c>
      <c r="F47" s="15" t="s">
        <v>36</v>
      </c>
      <c r="G47" s="15" t="s">
        <v>34</v>
      </c>
      <c r="H47" s="15">
        <f t="shared" si="2"/>
        <v>40</v>
      </c>
      <c r="I47" s="15"/>
      <c r="J47" s="15"/>
    </row>
    <row r="48" spans="1:16" ht="17.25" customHeight="1">
      <c r="A48" s="1"/>
      <c r="D48" s="15" t="s">
        <v>46</v>
      </c>
      <c r="E48" s="15">
        <v>25</v>
      </c>
      <c r="F48" s="15" t="s">
        <v>33</v>
      </c>
      <c r="G48" s="15" t="s">
        <v>37</v>
      </c>
      <c r="H48" s="15">
        <f t="shared" si="2"/>
        <v>30</v>
      </c>
      <c r="I48" s="15"/>
      <c r="J48" s="15"/>
    </row>
    <row r="49" spans="1:1" ht="15.75" customHeight="1">
      <c r="A49" s="1"/>
    </row>
    <row r="50" spans="1:1" ht="15.75" customHeight="1">
      <c r="A50" s="1"/>
    </row>
    <row r="51" spans="1:1" ht="15.75" customHeight="1">
      <c r="A51" s="1"/>
    </row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>
      <c r="A56" s="1"/>
    </row>
    <row r="57" spans="1:1" ht="15.75" customHeight="1">
      <c r="A57" s="1"/>
    </row>
    <row r="58" spans="1:1" ht="15.75" customHeight="1">
      <c r="A58" s="1"/>
    </row>
    <row r="59" spans="1:1" ht="15.75" customHeight="1">
      <c r="A59" s="1"/>
    </row>
    <row r="60" spans="1:1" ht="15.75" customHeight="1">
      <c r="A60" s="1"/>
    </row>
    <row r="61" spans="1:1" ht="15.75" customHeight="1">
      <c r="A61" s="1"/>
    </row>
    <row r="62" spans="1:1" ht="15.75" customHeight="1">
      <c r="A62" s="1"/>
    </row>
    <row r="63" spans="1:1" ht="15.75" customHeight="1">
      <c r="A63" s="1"/>
    </row>
    <row r="64" spans="1:1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  <row r="954" spans="1:1" ht="15.75" customHeight="1">
      <c r="A954" s="1"/>
    </row>
    <row r="955" spans="1:1" ht="15.75" customHeight="1">
      <c r="A955" s="1"/>
    </row>
    <row r="956" spans="1:1" ht="15.75" customHeight="1">
      <c r="A956" s="1"/>
    </row>
    <row r="957" spans="1:1" ht="15.75" customHeight="1">
      <c r="A957" s="1"/>
    </row>
    <row r="958" spans="1:1" ht="15.75" customHeight="1">
      <c r="A958" s="1"/>
    </row>
    <row r="959" spans="1:1" ht="15.75" customHeight="1">
      <c r="A959" s="1"/>
    </row>
    <row r="960" spans="1:1" ht="15.75" customHeight="1">
      <c r="A960" s="1"/>
    </row>
    <row r="961" spans="1:1" ht="15.75" customHeight="1">
      <c r="A961" s="1"/>
    </row>
    <row r="962" spans="1:1" ht="15.75" customHeight="1">
      <c r="A962" s="1"/>
    </row>
    <row r="963" spans="1:1" ht="15.75" customHeight="1">
      <c r="A963" s="1"/>
    </row>
    <row r="964" spans="1:1" ht="15.75" customHeight="1">
      <c r="A964" s="1"/>
    </row>
    <row r="965" spans="1:1" ht="15.75" customHeight="1">
      <c r="A965" s="1"/>
    </row>
    <row r="966" spans="1:1" ht="15.75" customHeight="1">
      <c r="A966" s="1"/>
    </row>
    <row r="967" spans="1:1" ht="15.75" customHeight="1">
      <c r="A967" s="1"/>
    </row>
    <row r="968" spans="1:1" ht="15.75" customHeight="1">
      <c r="A968" s="1"/>
    </row>
    <row r="969" spans="1:1" ht="15.75" customHeight="1">
      <c r="A969" s="1"/>
    </row>
    <row r="970" spans="1:1" ht="15.75" customHeight="1">
      <c r="A970" s="1"/>
    </row>
    <row r="971" spans="1:1" ht="15.75" customHeight="1">
      <c r="A971" s="1"/>
    </row>
    <row r="972" spans="1:1" ht="15.75" customHeight="1">
      <c r="A972" s="1"/>
    </row>
    <row r="973" spans="1:1" ht="15.75" customHeight="1">
      <c r="A973" s="1"/>
    </row>
    <row r="974" spans="1:1" ht="15.75" customHeight="1">
      <c r="A974" s="1"/>
    </row>
    <row r="975" spans="1:1" ht="15.75" customHeight="1">
      <c r="A975" s="1"/>
    </row>
    <row r="976" spans="1:1" ht="15.75" customHeight="1">
      <c r="A976" s="1"/>
    </row>
    <row r="977" spans="1:1" ht="15.75" customHeight="1">
      <c r="A977" s="1"/>
    </row>
    <row r="978" spans="1:1" ht="15.75" customHeight="1">
      <c r="A978" s="1"/>
    </row>
    <row r="979" spans="1:1" ht="15.75" customHeight="1">
      <c r="A979" s="1"/>
    </row>
    <row r="980" spans="1:1" ht="15.75" customHeight="1">
      <c r="A980" s="1"/>
    </row>
    <row r="981" spans="1:1" ht="15.75" customHeight="1">
      <c r="A981" s="1"/>
    </row>
    <row r="982" spans="1:1" ht="15.75" customHeight="1">
      <c r="A982" s="1"/>
    </row>
    <row r="983" spans="1:1" ht="15.75" customHeight="1">
      <c r="A983" s="1"/>
    </row>
    <row r="984" spans="1:1" ht="15.75" customHeight="1">
      <c r="A984" s="1"/>
    </row>
    <row r="985" spans="1:1" ht="15.75" customHeight="1">
      <c r="A985" s="1"/>
    </row>
    <row r="986" spans="1:1" ht="15.75" customHeight="1">
      <c r="A986" s="1"/>
    </row>
    <row r="987" spans="1:1" ht="15.75" customHeight="1">
      <c r="A987" s="1"/>
    </row>
    <row r="988" spans="1:1" ht="15.75" customHeight="1">
      <c r="A988" s="1"/>
    </row>
    <row r="989" spans="1:1" ht="15.75" customHeight="1">
      <c r="A989" s="1"/>
    </row>
    <row r="990" spans="1:1" ht="15.75" customHeight="1">
      <c r="A990" s="1"/>
    </row>
    <row r="991" spans="1:1" ht="15.75" customHeight="1">
      <c r="A991" s="1"/>
    </row>
    <row r="992" spans="1:1" ht="15.75" customHeight="1">
      <c r="A992" s="1"/>
    </row>
    <row r="993" spans="1:1" ht="15.75" customHeight="1">
      <c r="A993" s="1"/>
    </row>
    <row r="994" spans="1:1" ht="15.75" customHeight="1">
      <c r="A994" s="1"/>
    </row>
    <row r="995" spans="1:1" ht="15.75" customHeight="1">
      <c r="A995" s="1"/>
    </row>
    <row r="996" spans="1:1" ht="15.75" customHeight="1">
      <c r="A996" s="1"/>
    </row>
    <row r="997" spans="1:1" ht="15.75" customHeight="1">
      <c r="A997" s="1"/>
    </row>
    <row r="998" spans="1:1" ht="15.75" customHeight="1">
      <c r="A998" s="1"/>
    </row>
    <row r="999" spans="1:1" ht="15.75" customHeight="1">
      <c r="A999" s="1"/>
    </row>
    <row r="1000" spans="1:1" ht="15.75" customHeight="1">
      <c r="A1000" s="1"/>
    </row>
  </sheetData>
  <mergeCells count="1">
    <mergeCell ref="G32:H32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showGridLines="0" topLeftCell="D9" zoomScale="70" zoomScaleNormal="70" workbookViewId="0">
      <selection activeCell="J66" sqref="J66"/>
    </sheetView>
  </sheetViews>
  <sheetFormatPr baseColWidth="10" defaultColWidth="12.625" defaultRowHeight="15" customHeight="1"/>
  <cols>
    <col min="1" max="1" width="7.625" customWidth="1"/>
    <col min="2" max="2" width="3" customWidth="1"/>
    <col min="3" max="3" width="9.375" customWidth="1"/>
    <col min="4" max="4" width="13.5" customWidth="1"/>
    <col min="5" max="5" width="15.25" customWidth="1"/>
    <col min="6" max="6" width="13.125" customWidth="1"/>
    <col min="7" max="7" width="15.125" customWidth="1"/>
    <col min="8" max="8" width="32.375" customWidth="1"/>
    <col min="9" max="9" width="14.75" customWidth="1"/>
    <col min="10" max="10" width="13.5" customWidth="1"/>
    <col min="11" max="11" width="9.375" customWidth="1"/>
    <col min="12" max="12" width="15.75" customWidth="1"/>
    <col min="13" max="13" width="10.375" customWidth="1"/>
    <col min="14" max="14" width="8.5" customWidth="1"/>
    <col min="15" max="26" width="9.375" customWidth="1"/>
  </cols>
  <sheetData>
    <row r="1" spans="1:14">
      <c r="A1" s="1"/>
    </row>
    <row r="2" spans="1:14">
      <c r="A2" s="1"/>
    </row>
    <row r="3" spans="1:14">
      <c r="A3" s="1"/>
    </row>
    <row r="4" spans="1:14">
      <c r="A4" s="1"/>
    </row>
    <row r="5" spans="1:14">
      <c r="A5" s="1"/>
    </row>
    <row r="6" spans="1:14">
      <c r="A6" s="1"/>
    </row>
    <row r="7" spans="1:14">
      <c r="A7" s="1"/>
    </row>
    <row r="8" spans="1:14">
      <c r="A8" s="1"/>
      <c r="K8" s="17"/>
    </row>
    <row r="9" spans="1:14" ht="36.75" customHeight="1">
      <c r="A9" s="1"/>
      <c r="C9" s="2" t="s"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1"/>
      <c r="C10" s="4"/>
    </row>
    <row r="11" spans="1:14" ht="20.25">
      <c r="A11" s="1"/>
      <c r="G11" s="5" t="s">
        <v>47</v>
      </c>
    </row>
    <row r="12" spans="1:14" ht="7.5" customHeight="1">
      <c r="A12" s="1"/>
    </row>
    <row r="13" spans="1:14" ht="15.75">
      <c r="A13" s="1"/>
      <c r="C13" s="6" t="s">
        <v>2</v>
      </c>
      <c r="D13" s="18" t="s">
        <v>48</v>
      </c>
    </row>
    <row r="14" spans="1:14" ht="15.75">
      <c r="A14" s="1"/>
      <c r="C14" s="6"/>
    </row>
    <row r="15" spans="1:14" ht="17.25">
      <c r="A15" s="1"/>
      <c r="C15" s="6" t="s">
        <v>4</v>
      </c>
      <c r="D15" s="8"/>
    </row>
    <row r="16" spans="1:14" ht="15.75">
      <c r="A16" s="1"/>
      <c r="C16" s="6"/>
    </row>
    <row r="17" spans="1:14" ht="15.75">
      <c r="A17" s="1"/>
      <c r="C17" s="6" t="s">
        <v>5</v>
      </c>
      <c r="H17" s="11"/>
      <c r="M17" s="11"/>
    </row>
    <row r="18" spans="1:14" ht="15.75">
      <c r="A18" s="1"/>
      <c r="C18" s="6"/>
    </row>
    <row r="19" spans="1:14" ht="31.5">
      <c r="A19" s="1"/>
      <c r="C19" s="6"/>
      <c r="D19" s="19" t="s">
        <v>6</v>
      </c>
      <c r="E19" s="19" t="s">
        <v>49</v>
      </c>
      <c r="F19" s="20" t="s">
        <v>50</v>
      </c>
      <c r="G19" s="20" t="s">
        <v>51</v>
      </c>
      <c r="H19" s="19" t="s">
        <v>52</v>
      </c>
      <c r="K19" s="14"/>
      <c r="L19" s="14"/>
      <c r="M19" s="14"/>
      <c r="N19" s="14"/>
    </row>
    <row r="20" spans="1:14" ht="17.25">
      <c r="A20" s="1"/>
      <c r="C20" s="6"/>
      <c r="D20" s="15" t="s">
        <v>53</v>
      </c>
      <c r="E20" s="15" t="s">
        <v>54</v>
      </c>
      <c r="F20" s="15">
        <v>3</v>
      </c>
      <c r="G20" s="15">
        <v>45</v>
      </c>
      <c r="H20" s="15" t="str">
        <f>IF(AND(E20="SI",F20&gt;2,G20&lt;=35),"Contratar","No apto")</f>
        <v>No apto</v>
      </c>
      <c r="I20" s="16"/>
      <c r="J20" s="16"/>
    </row>
    <row r="21" spans="1:14" ht="17.25" customHeight="1">
      <c r="A21" s="1"/>
      <c r="C21" s="6"/>
      <c r="D21" s="15" t="s">
        <v>55</v>
      </c>
      <c r="E21" s="15" t="s">
        <v>61</v>
      </c>
      <c r="F21" s="15">
        <v>5</v>
      </c>
      <c r="G21" s="15">
        <v>34</v>
      </c>
      <c r="H21" s="15" t="str">
        <f t="shared" ref="H21:H29" si="0">IF(AND(E21="SI",F21&gt;2,G21&lt;=35),"Contratar","No apto")</f>
        <v>Contratar</v>
      </c>
      <c r="I21" s="16"/>
      <c r="J21" s="16"/>
      <c r="L21" s="4"/>
    </row>
    <row r="22" spans="1:14" ht="17.25" customHeight="1">
      <c r="A22" s="1"/>
      <c r="C22" s="6"/>
      <c r="D22" s="15" t="s">
        <v>56</v>
      </c>
      <c r="E22" s="15" t="s">
        <v>61</v>
      </c>
      <c r="F22" s="15">
        <v>3</v>
      </c>
      <c r="G22" s="15">
        <v>39</v>
      </c>
      <c r="H22" s="15" t="str">
        <f t="shared" si="0"/>
        <v>No apto</v>
      </c>
      <c r="I22" s="16"/>
      <c r="J22" s="16"/>
      <c r="L22" s="4"/>
    </row>
    <row r="23" spans="1:14" ht="17.25" customHeight="1">
      <c r="A23" s="1"/>
      <c r="C23" s="6"/>
      <c r="D23" s="15" t="s">
        <v>57</v>
      </c>
      <c r="E23" s="15" t="s">
        <v>54</v>
      </c>
      <c r="F23" s="15">
        <v>1</v>
      </c>
      <c r="G23" s="15">
        <v>30</v>
      </c>
      <c r="H23" s="15" t="str">
        <f>IF(AND(E23="SI",F23&gt;2,G23&lt;=35),"Contratar","No apto")</f>
        <v>No apto</v>
      </c>
      <c r="I23" s="16"/>
      <c r="J23" s="16"/>
      <c r="L23" s="4"/>
    </row>
    <row r="24" spans="1:14" ht="17.25" customHeight="1">
      <c r="A24" s="1"/>
      <c r="C24" s="6"/>
      <c r="D24" s="15" t="s">
        <v>58</v>
      </c>
      <c r="E24" s="15" t="s">
        <v>61</v>
      </c>
      <c r="F24" s="15">
        <v>2</v>
      </c>
      <c r="G24" s="15">
        <v>33</v>
      </c>
      <c r="H24" s="15" t="str">
        <f t="shared" si="0"/>
        <v>No apto</v>
      </c>
      <c r="I24" s="16"/>
      <c r="J24" s="16"/>
      <c r="L24" s="4"/>
    </row>
    <row r="25" spans="1:14" ht="15.75" customHeight="1">
      <c r="A25" s="1"/>
      <c r="C25" s="6"/>
      <c r="D25" s="15" t="s">
        <v>59</v>
      </c>
      <c r="E25" s="15" t="s">
        <v>54</v>
      </c>
      <c r="F25" s="15">
        <v>2</v>
      </c>
      <c r="G25" s="15">
        <v>25</v>
      </c>
      <c r="H25" s="15" t="str">
        <f t="shared" si="0"/>
        <v>No apto</v>
      </c>
      <c r="I25" s="16"/>
      <c r="J25" s="16"/>
    </row>
    <row r="26" spans="1:14" ht="15.75" customHeight="1">
      <c r="A26" s="1"/>
      <c r="C26" s="6"/>
      <c r="D26" s="15" t="s">
        <v>60</v>
      </c>
      <c r="E26" s="15" t="s">
        <v>61</v>
      </c>
      <c r="F26" s="15">
        <v>4</v>
      </c>
      <c r="G26" s="15">
        <v>38</v>
      </c>
      <c r="H26" s="15" t="str">
        <f t="shared" si="0"/>
        <v>No apto</v>
      </c>
      <c r="I26" s="16"/>
      <c r="J26" s="16"/>
    </row>
    <row r="27" spans="1:14" ht="15.75" customHeight="1">
      <c r="A27" s="1"/>
      <c r="C27" s="6"/>
      <c r="D27" s="15" t="s">
        <v>62</v>
      </c>
      <c r="E27" s="15" t="s">
        <v>54</v>
      </c>
      <c r="F27" s="15">
        <v>1</v>
      </c>
      <c r="G27" s="15">
        <v>34</v>
      </c>
      <c r="H27" s="15" t="str">
        <f t="shared" si="0"/>
        <v>No apto</v>
      </c>
      <c r="I27" s="16"/>
      <c r="J27" s="16"/>
    </row>
    <row r="28" spans="1:14" ht="15.75" customHeight="1">
      <c r="A28" s="1"/>
      <c r="C28" s="6"/>
      <c r="D28" s="15" t="s">
        <v>63</v>
      </c>
      <c r="E28" s="15" t="s">
        <v>61</v>
      </c>
      <c r="F28" s="15">
        <v>5</v>
      </c>
      <c r="G28" s="15">
        <v>34</v>
      </c>
      <c r="H28" s="15" t="str">
        <f t="shared" si="0"/>
        <v>Contratar</v>
      </c>
      <c r="I28" s="16"/>
      <c r="J28" s="16"/>
    </row>
    <row r="29" spans="1:14" ht="15.75" customHeight="1">
      <c r="A29" s="1"/>
      <c r="C29" s="6"/>
      <c r="D29" s="15" t="s">
        <v>64</v>
      </c>
      <c r="E29" s="15" t="s">
        <v>61</v>
      </c>
      <c r="F29" s="15">
        <v>2</v>
      </c>
      <c r="G29" s="15">
        <v>30</v>
      </c>
      <c r="H29" s="15" t="str">
        <f t="shared" si="0"/>
        <v>No apto</v>
      </c>
      <c r="I29" s="16"/>
      <c r="J29" s="16"/>
    </row>
    <row r="30" spans="1:14" ht="15.75" customHeight="1">
      <c r="A30" s="1"/>
      <c r="C30" s="6"/>
    </row>
    <row r="31" spans="1:14" ht="15.75" customHeight="1">
      <c r="A31" s="1"/>
      <c r="C31" s="6"/>
    </row>
    <row r="32" spans="1:14" ht="15.75" customHeight="1">
      <c r="A32" s="1"/>
      <c r="C32" s="6" t="s">
        <v>26</v>
      </c>
    </row>
    <row r="33" spans="1:8" ht="15.75" customHeight="1">
      <c r="A33" s="1"/>
      <c r="C33" s="6"/>
    </row>
    <row r="34" spans="1:8" ht="15.75" customHeight="1">
      <c r="A34" s="1"/>
      <c r="C34" s="6"/>
      <c r="D34" s="19" t="s">
        <v>65</v>
      </c>
      <c r="E34" s="19" t="s">
        <v>66</v>
      </c>
      <c r="F34" s="19" t="s">
        <v>51</v>
      </c>
      <c r="G34" s="19" t="s">
        <v>67</v>
      </c>
      <c r="H34" s="19" t="s">
        <v>68</v>
      </c>
    </row>
    <row r="35" spans="1:8" ht="15.75" customHeight="1">
      <c r="A35" s="1"/>
      <c r="C35" s="6"/>
      <c r="D35" s="15" t="s">
        <v>69</v>
      </c>
      <c r="E35" s="15" t="s">
        <v>70</v>
      </c>
      <c r="F35" s="15">
        <v>35</v>
      </c>
      <c r="G35" s="15">
        <v>4</v>
      </c>
      <c r="H35" s="15">
        <f>IF(AND(E35="LOGÍSTICA",F35&gt;31,G35&gt;2),700,420)</f>
        <v>700</v>
      </c>
    </row>
    <row r="36" spans="1:8" ht="15.75" customHeight="1">
      <c r="A36" s="1"/>
      <c r="C36" s="6"/>
      <c r="D36" s="15" t="s">
        <v>71</v>
      </c>
      <c r="E36" s="15" t="s">
        <v>72</v>
      </c>
      <c r="F36" s="15">
        <v>46</v>
      </c>
      <c r="G36" s="15">
        <v>2</v>
      </c>
      <c r="H36" s="15">
        <f t="shared" ref="H36:H41" si="1">IF(AND(E36="LOGÍSTICA",F36&gt;31,G36&gt;2),700,420)</f>
        <v>420</v>
      </c>
    </row>
    <row r="37" spans="1:8" ht="15.75" customHeight="1">
      <c r="A37" s="1"/>
      <c r="C37" s="6"/>
      <c r="D37" s="15" t="s">
        <v>73</v>
      </c>
      <c r="E37" s="15" t="s">
        <v>70</v>
      </c>
      <c r="F37" s="15">
        <v>29</v>
      </c>
      <c r="G37" s="15">
        <v>4</v>
      </c>
      <c r="H37" s="15">
        <f t="shared" si="1"/>
        <v>420</v>
      </c>
    </row>
    <row r="38" spans="1:8" ht="15.75" customHeight="1">
      <c r="A38" s="1"/>
      <c r="C38" s="6"/>
      <c r="D38" s="15" t="s">
        <v>74</v>
      </c>
      <c r="E38" s="15" t="s">
        <v>75</v>
      </c>
      <c r="F38" s="15">
        <v>48</v>
      </c>
      <c r="G38" s="15">
        <v>2</v>
      </c>
      <c r="H38" s="15">
        <f t="shared" si="1"/>
        <v>420</v>
      </c>
    </row>
    <row r="39" spans="1:8" ht="15.75" customHeight="1">
      <c r="A39" s="1"/>
      <c r="C39" s="6"/>
      <c r="D39" s="15" t="s">
        <v>76</v>
      </c>
      <c r="E39" s="15" t="s">
        <v>72</v>
      </c>
      <c r="F39" s="15">
        <v>36</v>
      </c>
      <c r="G39" s="15">
        <v>5</v>
      </c>
      <c r="H39" s="15">
        <f t="shared" si="1"/>
        <v>420</v>
      </c>
    </row>
    <row r="40" spans="1:8" ht="15.75" customHeight="1">
      <c r="A40" s="1"/>
      <c r="C40" s="6"/>
      <c r="D40" s="15" t="s">
        <v>77</v>
      </c>
      <c r="E40" s="15" t="s">
        <v>70</v>
      </c>
      <c r="F40" s="15">
        <v>48</v>
      </c>
      <c r="G40" s="15">
        <v>2</v>
      </c>
      <c r="H40" s="15">
        <f t="shared" si="1"/>
        <v>420</v>
      </c>
    </row>
    <row r="41" spans="1:8" ht="15.75" customHeight="1">
      <c r="A41" s="1"/>
      <c r="C41" s="6"/>
      <c r="D41" s="15" t="s">
        <v>78</v>
      </c>
      <c r="E41" s="15" t="s">
        <v>70</v>
      </c>
      <c r="F41" s="15">
        <v>32</v>
      </c>
      <c r="G41" s="15">
        <v>4</v>
      </c>
      <c r="H41" s="15">
        <f t="shared" si="1"/>
        <v>700</v>
      </c>
    </row>
    <row r="42" spans="1:8" ht="15.75" customHeight="1">
      <c r="A42" s="1"/>
      <c r="C42" s="6"/>
      <c r="D42" s="16"/>
      <c r="E42" s="16"/>
      <c r="F42" s="16"/>
      <c r="G42" s="16"/>
      <c r="H42" s="16"/>
    </row>
    <row r="43" spans="1:8" ht="15.75" customHeight="1">
      <c r="A43" s="1"/>
      <c r="C43" s="6"/>
    </row>
    <row r="44" spans="1:8" ht="15.75" customHeight="1">
      <c r="A44" s="1"/>
      <c r="C44" s="6" t="s">
        <v>79</v>
      </c>
    </row>
    <row r="45" spans="1:8" ht="15.75" customHeight="1">
      <c r="A45" s="1"/>
      <c r="C45" s="6"/>
    </row>
    <row r="46" spans="1:8" ht="15.75" customHeight="1">
      <c r="A46" s="1"/>
      <c r="D46" s="19" t="s">
        <v>80</v>
      </c>
      <c r="E46" s="19" t="s">
        <v>81</v>
      </c>
      <c r="F46" s="19" t="s">
        <v>82</v>
      </c>
      <c r="G46" s="19" t="s">
        <v>83</v>
      </c>
      <c r="H46" s="19" t="s">
        <v>52</v>
      </c>
    </row>
    <row r="47" spans="1:8" ht="15.75" customHeight="1">
      <c r="A47" s="1"/>
      <c r="D47" s="21" t="s">
        <v>78</v>
      </c>
      <c r="E47" s="21">
        <v>16</v>
      </c>
      <c r="F47" s="21">
        <v>12</v>
      </c>
      <c r="G47" s="21">
        <v>20</v>
      </c>
      <c r="H47" s="21" t="str">
        <f>IF(AND(E47&gt;=11,F47&gt;=11,G47&gt;=11),"Aprobado","Desaprobado")</f>
        <v>Aprobado</v>
      </c>
    </row>
    <row r="48" spans="1:8" ht="15.75" customHeight="1">
      <c r="A48" s="1"/>
      <c r="D48" s="21" t="s">
        <v>84</v>
      </c>
      <c r="E48" s="21">
        <v>4</v>
      </c>
      <c r="F48" s="21">
        <v>5</v>
      </c>
      <c r="G48" s="21">
        <v>13</v>
      </c>
      <c r="H48" s="21" t="str">
        <f t="shared" ref="H48:H56" si="2">IF(AND(E48&gt;=11,F48&gt;=11,G48&gt;=11),"Aprobado","Desaprobado")</f>
        <v>Desaprobado</v>
      </c>
    </row>
    <row r="49" spans="1:8" ht="15.75" customHeight="1">
      <c r="A49" s="1"/>
      <c r="D49" s="21" t="s">
        <v>85</v>
      </c>
      <c r="E49" s="21">
        <v>17</v>
      </c>
      <c r="F49" s="21">
        <v>11.26</v>
      </c>
      <c r="G49" s="21">
        <v>14</v>
      </c>
      <c r="H49" s="21" t="str">
        <f t="shared" si="2"/>
        <v>Aprobado</v>
      </c>
    </row>
    <row r="50" spans="1:8" ht="15.75" customHeight="1">
      <c r="A50" s="1"/>
      <c r="D50" s="21" t="s">
        <v>86</v>
      </c>
      <c r="E50" s="21">
        <v>18</v>
      </c>
      <c r="F50" s="21">
        <v>9</v>
      </c>
      <c r="G50" s="21">
        <v>2</v>
      </c>
      <c r="H50" s="21" t="str">
        <f t="shared" si="2"/>
        <v>Desaprobado</v>
      </c>
    </row>
    <row r="51" spans="1:8" ht="15.75" customHeight="1">
      <c r="A51" s="1"/>
      <c r="D51" s="21" t="s">
        <v>87</v>
      </c>
      <c r="E51" s="21">
        <v>20</v>
      </c>
      <c r="F51" s="21">
        <v>11</v>
      </c>
      <c r="G51" s="21">
        <v>11</v>
      </c>
      <c r="H51" s="21" t="str">
        <f t="shared" si="2"/>
        <v>Aprobado</v>
      </c>
    </row>
    <row r="52" spans="1:8" ht="15.75" customHeight="1">
      <c r="A52" s="1"/>
      <c r="D52" s="21" t="s">
        <v>88</v>
      </c>
      <c r="E52" s="21">
        <v>7</v>
      </c>
      <c r="F52" s="21">
        <v>12</v>
      </c>
      <c r="G52" s="21">
        <v>13.97</v>
      </c>
      <c r="H52" s="21" t="str">
        <f t="shared" si="2"/>
        <v>Desaprobado</v>
      </c>
    </row>
    <row r="53" spans="1:8" ht="15.75" customHeight="1">
      <c r="A53" s="1"/>
      <c r="D53" s="21" t="s">
        <v>89</v>
      </c>
      <c r="E53" s="21">
        <v>4</v>
      </c>
      <c r="F53" s="21">
        <v>18.55</v>
      </c>
      <c r="G53" s="21">
        <v>16</v>
      </c>
      <c r="H53" s="21" t="str">
        <f t="shared" si="2"/>
        <v>Desaprobado</v>
      </c>
    </row>
    <row r="54" spans="1:8" ht="15.75" customHeight="1">
      <c r="A54" s="1"/>
      <c r="D54" s="21" t="s">
        <v>90</v>
      </c>
      <c r="E54" s="21">
        <v>6</v>
      </c>
      <c r="F54" s="21">
        <v>4</v>
      </c>
      <c r="G54" s="21">
        <v>4</v>
      </c>
      <c r="H54" s="21" t="str">
        <f t="shared" si="2"/>
        <v>Desaprobado</v>
      </c>
    </row>
    <row r="55" spans="1:8" ht="15.75" customHeight="1">
      <c r="A55" s="1"/>
      <c r="D55" s="21" t="s">
        <v>91</v>
      </c>
      <c r="E55" s="21">
        <v>12</v>
      </c>
      <c r="F55" s="21">
        <v>14</v>
      </c>
      <c r="G55" s="21">
        <v>3</v>
      </c>
      <c r="H55" s="21" t="str">
        <f t="shared" si="2"/>
        <v>Desaprobado</v>
      </c>
    </row>
    <row r="56" spans="1:8" ht="15.75" customHeight="1">
      <c r="A56" s="1"/>
      <c r="D56" s="21" t="s">
        <v>76</v>
      </c>
      <c r="E56" s="21">
        <v>3.8</v>
      </c>
      <c r="F56" s="21">
        <v>16</v>
      </c>
      <c r="G56" s="21">
        <v>6</v>
      </c>
      <c r="H56" s="21" t="str">
        <f t="shared" si="2"/>
        <v>Desaprobado</v>
      </c>
    </row>
    <row r="57" spans="1:8" ht="15.75" customHeight="1">
      <c r="A57" s="1"/>
    </row>
    <row r="58" spans="1:8" ht="15.75" customHeight="1">
      <c r="A58" s="1"/>
    </row>
    <row r="59" spans="1:8" ht="15.75" customHeight="1">
      <c r="A59" s="1"/>
    </row>
    <row r="60" spans="1:8" ht="15.75" customHeight="1">
      <c r="A60" s="1"/>
    </row>
    <row r="61" spans="1:8" ht="15.75" customHeight="1">
      <c r="A61" s="1"/>
    </row>
    <row r="62" spans="1:8" ht="15.75" customHeight="1">
      <c r="A62" s="1"/>
    </row>
    <row r="63" spans="1:8" ht="15.75" customHeight="1">
      <c r="A63" s="1"/>
    </row>
    <row r="64" spans="1:8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  <row r="954" spans="1:1" ht="15.75" customHeight="1">
      <c r="A954" s="1"/>
    </row>
    <row r="955" spans="1:1" ht="15.75" customHeight="1">
      <c r="A955" s="1"/>
    </row>
    <row r="956" spans="1:1" ht="15.75" customHeight="1">
      <c r="A956" s="1"/>
    </row>
    <row r="957" spans="1:1" ht="15.75" customHeight="1">
      <c r="A957" s="1"/>
    </row>
    <row r="958" spans="1:1" ht="15.75" customHeight="1">
      <c r="A958" s="1"/>
    </row>
    <row r="959" spans="1:1" ht="15.75" customHeight="1">
      <c r="A959" s="1"/>
    </row>
    <row r="960" spans="1:1" ht="15.75" customHeight="1">
      <c r="A960" s="1"/>
    </row>
    <row r="961" spans="1:1" ht="15.75" customHeight="1">
      <c r="A961" s="1"/>
    </row>
    <row r="962" spans="1:1" ht="15.75" customHeight="1">
      <c r="A962" s="1"/>
    </row>
    <row r="963" spans="1:1" ht="15.75" customHeight="1">
      <c r="A963" s="1"/>
    </row>
    <row r="964" spans="1:1" ht="15.75" customHeight="1">
      <c r="A964" s="1"/>
    </row>
    <row r="965" spans="1:1" ht="15.75" customHeight="1">
      <c r="A965" s="1"/>
    </row>
    <row r="966" spans="1:1" ht="15.75" customHeight="1">
      <c r="A966" s="1"/>
    </row>
    <row r="967" spans="1:1" ht="15.75" customHeight="1">
      <c r="A967" s="1"/>
    </row>
    <row r="968" spans="1:1" ht="15.75" customHeight="1">
      <c r="A968" s="1"/>
    </row>
    <row r="969" spans="1:1" ht="15.75" customHeight="1">
      <c r="A969" s="1"/>
    </row>
    <row r="970" spans="1:1" ht="15.75" customHeight="1">
      <c r="A970" s="1"/>
    </row>
    <row r="971" spans="1:1" ht="15.75" customHeight="1">
      <c r="A971" s="1"/>
    </row>
    <row r="972" spans="1:1" ht="15.75" customHeight="1">
      <c r="A972" s="1"/>
    </row>
    <row r="973" spans="1:1" ht="15.75" customHeight="1">
      <c r="A973" s="1"/>
    </row>
    <row r="974" spans="1:1" ht="15.75" customHeight="1">
      <c r="A974" s="1"/>
    </row>
    <row r="975" spans="1:1" ht="15.75" customHeight="1">
      <c r="A975" s="1"/>
    </row>
    <row r="976" spans="1:1" ht="15.75" customHeight="1">
      <c r="A976" s="1"/>
    </row>
    <row r="977" spans="1:1" ht="15.75" customHeight="1">
      <c r="A977" s="1"/>
    </row>
    <row r="978" spans="1:1" ht="15.75" customHeight="1">
      <c r="A978" s="1"/>
    </row>
    <row r="979" spans="1:1" ht="15.75" customHeight="1">
      <c r="A979" s="1"/>
    </row>
    <row r="980" spans="1:1" ht="15.75" customHeight="1">
      <c r="A980" s="1"/>
    </row>
    <row r="981" spans="1:1" ht="15.75" customHeight="1">
      <c r="A981" s="1"/>
    </row>
    <row r="982" spans="1:1" ht="15.75" customHeight="1">
      <c r="A982" s="1"/>
    </row>
    <row r="983" spans="1:1" ht="15.75" customHeight="1">
      <c r="A983" s="1"/>
    </row>
    <row r="984" spans="1:1" ht="15.75" customHeight="1">
      <c r="A984" s="1"/>
    </row>
    <row r="985" spans="1:1" ht="15.75" customHeight="1">
      <c r="A985" s="1"/>
    </row>
    <row r="986" spans="1:1" ht="15.75" customHeight="1">
      <c r="A986" s="1"/>
    </row>
    <row r="987" spans="1:1" ht="15.75" customHeight="1">
      <c r="A987" s="1"/>
    </row>
    <row r="988" spans="1:1" ht="15.75" customHeight="1">
      <c r="A988" s="1"/>
    </row>
    <row r="989" spans="1:1" ht="15.75" customHeight="1">
      <c r="A989" s="1"/>
    </row>
    <row r="990" spans="1:1" ht="15.75" customHeight="1">
      <c r="A990" s="1"/>
    </row>
    <row r="991" spans="1:1" ht="15.75" customHeight="1">
      <c r="A991" s="1"/>
    </row>
    <row r="992" spans="1:1" ht="15.75" customHeight="1">
      <c r="A992" s="1"/>
    </row>
    <row r="993" spans="1:1" ht="15.75" customHeight="1">
      <c r="A993" s="1"/>
    </row>
    <row r="994" spans="1:1" ht="15.75" customHeight="1">
      <c r="A994" s="1"/>
    </row>
    <row r="995" spans="1:1" ht="15.75" customHeight="1">
      <c r="A995" s="1"/>
    </row>
    <row r="996" spans="1:1" ht="15.75" customHeight="1">
      <c r="A996" s="1"/>
    </row>
    <row r="997" spans="1:1" ht="15.75" customHeight="1">
      <c r="A997" s="1"/>
    </row>
    <row r="998" spans="1:1" ht="15.75" customHeight="1">
      <c r="A998" s="1"/>
    </row>
    <row r="999" spans="1:1" ht="15.75" customHeight="1">
      <c r="A999" s="1"/>
    </row>
    <row r="1000" spans="1:1" ht="15.75" customHeight="1">
      <c r="A1000" s="1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showGridLines="0" tabSelected="1" topLeftCell="A48" zoomScale="85" zoomScaleNormal="85" workbookViewId="0">
      <selection activeCell="G20" sqref="G20"/>
    </sheetView>
  </sheetViews>
  <sheetFormatPr baseColWidth="10" defaultColWidth="12.625" defaultRowHeight="15" customHeight="1"/>
  <cols>
    <col min="1" max="1" width="7.625" customWidth="1"/>
    <col min="2" max="2" width="3" customWidth="1"/>
    <col min="3" max="3" width="9.375" customWidth="1"/>
    <col min="4" max="4" width="13.375" customWidth="1"/>
    <col min="5" max="5" width="10.25" customWidth="1"/>
    <col min="6" max="6" width="9.375" customWidth="1"/>
    <col min="7" max="7" width="13.125" customWidth="1"/>
    <col min="8" max="8" width="16" customWidth="1"/>
    <col min="9" max="9" width="10.875" customWidth="1"/>
    <col min="10" max="10" width="10" customWidth="1"/>
    <col min="11" max="11" width="8.875" customWidth="1"/>
    <col min="12" max="12" width="10.875" customWidth="1"/>
    <col min="13" max="26" width="9.375" customWidth="1"/>
  </cols>
  <sheetData>
    <row r="1" spans="1:18">
      <c r="A1" s="1"/>
    </row>
    <row r="2" spans="1:18">
      <c r="A2" s="1"/>
    </row>
    <row r="3" spans="1:18">
      <c r="A3" s="1"/>
    </row>
    <row r="4" spans="1:18">
      <c r="A4" s="1"/>
    </row>
    <row r="5" spans="1:18">
      <c r="A5" s="1"/>
    </row>
    <row r="6" spans="1:18">
      <c r="A6" s="1"/>
    </row>
    <row r="7" spans="1:18">
      <c r="A7" s="1"/>
    </row>
    <row r="8" spans="1:18">
      <c r="A8" s="1"/>
      <c r="K8" s="17"/>
    </row>
    <row r="9" spans="1:18" ht="36.75" customHeight="1">
      <c r="A9" s="1"/>
      <c r="C9" s="2" t="s"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2"/>
      <c r="P9" s="3"/>
      <c r="Q9" s="3"/>
      <c r="R9" s="3"/>
    </row>
    <row r="10" spans="1:18">
      <c r="A10" s="1"/>
      <c r="C10" s="4"/>
    </row>
    <row r="11" spans="1:18" ht="20.25">
      <c r="A11" s="1"/>
      <c r="G11" s="5" t="s">
        <v>92</v>
      </c>
      <c r="H11" s="5"/>
      <c r="I11" s="5"/>
    </row>
    <row r="12" spans="1:18" ht="7.5" customHeight="1">
      <c r="A12" s="1"/>
    </row>
    <row r="13" spans="1:18" ht="15.75">
      <c r="A13" s="1"/>
      <c r="C13" s="6" t="s">
        <v>2</v>
      </c>
      <c r="D13" s="18" t="s">
        <v>93</v>
      </c>
    </row>
    <row r="14" spans="1:18" ht="15.75">
      <c r="A14" s="1"/>
      <c r="C14" s="6"/>
    </row>
    <row r="15" spans="1:18" ht="17.25">
      <c r="A15" s="1"/>
      <c r="C15" s="6" t="s">
        <v>4</v>
      </c>
      <c r="D15" s="8"/>
    </row>
    <row r="16" spans="1:18" ht="15.75">
      <c r="A16" s="1"/>
      <c r="C16" s="6"/>
    </row>
    <row r="17" spans="1:13" ht="15.75">
      <c r="A17" s="1"/>
      <c r="C17" s="6" t="s">
        <v>5</v>
      </c>
      <c r="H17" s="11"/>
      <c r="M17" s="11"/>
    </row>
    <row r="18" spans="1:13" ht="15.75">
      <c r="A18" s="1"/>
      <c r="C18" s="6"/>
    </row>
    <row r="19" spans="1:13" ht="39" customHeight="1">
      <c r="A19" s="1"/>
      <c r="C19" s="6"/>
      <c r="D19" s="12" t="s">
        <v>6</v>
      </c>
      <c r="E19" s="13" t="s">
        <v>94</v>
      </c>
      <c r="F19" s="13" t="s">
        <v>95</v>
      </c>
      <c r="G19" s="13" t="s">
        <v>68</v>
      </c>
      <c r="J19" s="14"/>
      <c r="K19" s="14"/>
      <c r="L19" s="14"/>
      <c r="M19" s="14"/>
    </row>
    <row r="20" spans="1:13" ht="17.25">
      <c r="A20" s="1"/>
      <c r="C20" s="6"/>
      <c r="D20" s="15" t="s">
        <v>96</v>
      </c>
      <c r="E20" s="15" t="s">
        <v>97</v>
      </c>
      <c r="F20" s="15">
        <v>0</v>
      </c>
      <c r="G20" s="15">
        <f>IF(OR(E20="C",F20&gt;0),90,0)</f>
        <v>90</v>
      </c>
      <c r="H20" s="16"/>
      <c r="I20" s="16"/>
      <c r="J20" s="16"/>
    </row>
    <row r="21" spans="1:13" ht="17.25" customHeight="1">
      <c r="A21" s="1"/>
      <c r="C21" s="6"/>
      <c r="D21" s="15" t="s">
        <v>98</v>
      </c>
      <c r="E21" s="15" t="s">
        <v>99</v>
      </c>
      <c r="F21" s="15">
        <v>1</v>
      </c>
      <c r="G21" s="15">
        <f t="shared" ref="G21:G28" si="0">IF(OR(E21="C",F21&gt;0),90,0)</f>
        <v>90</v>
      </c>
      <c r="H21" s="16"/>
      <c r="I21" s="16"/>
      <c r="J21" s="16"/>
      <c r="L21" s="4"/>
    </row>
    <row r="22" spans="1:13" ht="17.25" customHeight="1">
      <c r="A22" s="1"/>
      <c r="C22" s="6"/>
      <c r="D22" s="15" t="s">
        <v>100</v>
      </c>
      <c r="E22" s="15" t="s">
        <v>99</v>
      </c>
      <c r="F22" s="15">
        <v>0</v>
      </c>
      <c r="G22" s="15">
        <f t="shared" si="0"/>
        <v>0</v>
      </c>
      <c r="H22" s="16"/>
      <c r="I22" s="16"/>
      <c r="J22" s="16"/>
      <c r="L22" s="4"/>
    </row>
    <row r="23" spans="1:13" ht="17.25" customHeight="1">
      <c r="A23" s="1"/>
      <c r="C23" s="6"/>
      <c r="D23" s="15" t="s">
        <v>101</v>
      </c>
      <c r="E23" s="15" t="s">
        <v>97</v>
      </c>
      <c r="F23" s="15">
        <v>2</v>
      </c>
      <c r="G23" s="15">
        <f t="shared" si="0"/>
        <v>90</v>
      </c>
      <c r="H23" s="16"/>
      <c r="I23" s="16"/>
      <c r="J23" s="16"/>
      <c r="L23" s="4"/>
    </row>
    <row r="24" spans="1:13" ht="17.25" customHeight="1">
      <c r="A24" s="1"/>
      <c r="C24" s="6"/>
      <c r="D24" s="15" t="s">
        <v>102</v>
      </c>
      <c r="E24" s="15" t="s">
        <v>99</v>
      </c>
      <c r="F24" s="15">
        <v>0</v>
      </c>
      <c r="G24" s="15">
        <f t="shared" si="0"/>
        <v>0</v>
      </c>
      <c r="H24" s="16"/>
      <c r="I24" s="16"/>
      <c r="J24" s="16"/>
      <c r="L24" s="4"/>
    </row>
    <row r="25" spans="1:13" ht="15.75" customHeight="1">
      <c r="A25" s="1"/>
      <c r="C25" s="6"/>
      <c r="D25" s="15" t="s">
        <v>103</v>
      </c>
      <c r="E25" s="15" t="s">
        <v>97</v>
      </c>
      <c r="F25" s="15">
        <v>1</v>
      </c>
      <c r="G25" s="15">
        <f t="shared" si="0"/>
        <v>90</v>
      </c>
      <c r="H25" s="16"/>
      <c r="I25" s="16"/>
      <c r="J25" s="16"/>
    </row>
    <row r="26" spans="1:13" ht="15.75" customHeight="1">
      <c r="A26" s="1"/>
      <c r="C26" s="6"/>
      <c r="D26" s="15" t="s">
        <v>104</v>
      </c>
      <c r="E26" s="15" t="s">
        <v>99</v>
      </c>
      <c r="F26" s="15">
        <v>1</v>
      </c>
      <c r="G26" s="15">
        <f t="shared" si="0"/>
        <v>90</v>
      </c>
      <c r="H26" s="16"/>
      <c r="I26" s="16"/>
      <c r="J26" s="16"/>
    </row>
    <row r="27" spans="1:13" ht="15.75" customHeight="1">
      <c r="A27" s="1"/>
      <c r="C27" s="6"/>
      <c r="D27" s="15" t="s">
        <v>105</v>
      </c>
      <c r="E27" s="15" t="s">
        <v>97</v>
      </c>
      <c r="F27" s="15">
        <v>0</v>
      </c>
      <c r="G27" s="15">
        <f t="shared" si="0"/>
        <v>90</v>
      </c>
      <c r="H27" s="16"/>
      <c r="I27" s="16"/>
      <c r="J27" s="16"/>
    </row>
    <row r="28" spans="1:13" ht="15.75" customHeight="1">
      <c r="A28" s="1"/>
      <c r="C28" s="6"/>
      <c r="D28" s="15" t="s">
        <v>106</v>
      </c>
      <c r="E28" s="15" t="s">
        <v>99</v>
      </c>
      <c r="F28" s="15">
        <v>0</v>
      </c>
      <c r="G28" s="15">
        <f t="shared" si="0"/>
        <v>0</v>
      </c>
      <c r="H28" s="16"/>
      <c r="I28" s="16"/>
      <c r="J28" s="16"/>
    </row>
    <row r="29" spans="1:13" ht="15.75" customHeight="1">
      <c r="A29" s="1"/>
      <c r="C29" s="6"/>
      <c r="D29" s="16"/>
      <c r="E29" s="16"/>
      <c r="F29" s="16"/>
      <c r="G29" s="15"/>
      <c r="H29" s="16"/>
      <c r="I29" s="16"/>
      <c r="J29" s="16"/>
    </row>
    <row r="30" spans="1:13" ht="15.75" customHeight="1">
      <c r="A30" s="1"/>
      <c r="C30" s="6"/>
    </row>
    <row r="31" spans="1:13" ht="15.75" customHeight="1">
      <c r="A31" s="1"/>
      <c r="C31" s="6" t="s">
        <v>26</v>
      </c>
    </row>
    <row r="32" spans="1:13" ht="15.75" customHeight="1">
      <c r="A32" s="1"/>
    </row>
    <row r="33" spans="1:8" ht="15.75" customHeight="1">
      <c r="A33" s="1"/>
      <c r="D33" s="12" t="s">
        <v>65</v>
      </c>
      <c r="E33" s="13" t="s">
        <v>107</v>
      </c>
      <c r="F33" s="13" t="s">
        <v>108</v>
      </c>
      <c r="G33" s="13" t="s">
        <v>109</v>
      </c>
      <c r="H33" s="13" t="s">
        <v>110</v>
      </c>
    </row>
    <row r="34" spans="1:8" ht="17.25" customHeight="1">
      <c r="A34" s="1"/>
      <c r="D34" s="15" t="s">
        <v>69</v>
      </c>
      <c r="E34" s="15">
        <v>11</v>
      </c>
      <c r="F34" s="15">
        <v>13</v>
      </c>
      <c r="G34" s="15">
        <v>8</v>
      </c>
      <c r="H34" s="15" t="str">
        <f>IF(OR(E34&gt;=7,F34&gt;=7,G34&gt;=7),"Apto","No apto")</f>
        <v>Apto</v>
      </c>
    </row>
    <row r="35" spans="1:8" ht="17.25" customHeight="1">
      <c r="A35" s="1"/>
      <c r="D35" s="15" t="s">
        <v>71</v>
      </c>
      <c r="E35" s="15">
        <v>13</v>
      </c>
      <c r="F35" s="15">
        <v>12</v>
      </c>
      <c r="G35" s="15">
        <v>5</v>
      </c>
      <c r="H35" s="15" t="str">
        <f t="shared" ref="H35:H40" si="1">IF(OR(E35&gt;=7,F35&gt;=7,G35&gt;=7),"Apto","No apto")</f>
        <v>Apto</v>
      </c>
    </row>
    <row r="36" spans="1:8" ht="17.25" customHeight="1">
      <c r="A36" s="1"/>
      <c r="D36" s="15" t="s">
        <v>73</v>
      </c>
      <c r="E36" s="15">
        <v>6</v>
      </c>
      <c r="F36" s="15">
        <v>2</v>
      </c>
      <c r="G36" s="15">
        <v>6</v>
      </c>
      <c r="H36" s="15" t="str">
        <f t="shared" si="1"/>
        <v>No apto</v>
      </c>
    </row>
    <row r="37" spans="1:8" ht="17.25" customHeight="1">
      <c r="A37" s="1"/>
      <c r="D37" s="15" t="s">
        <v>74</v>
      </c>
      <c r="E37" s="15">
        <v>11</v>
      </c>
      <c r="F37" s="15">
        <v>9</v>
      </c>
      <c r="G37" s="15">
        <v>10</v>
      </c>
      <c r="H37" s="15" t="str">
        <f t="shared" si="1"/>
        <v>Apto</v>
      </c>
    </row>
    <row r="38" spans="1:8" ht="17.25" customHeight="1">
      <c r="A38" s="1"/>
      <c r="D38" s="15" t="s">
        <v>76</v>
      </c>
      <c r="E38" s="15">
        <v>3</v>
      </c>
      <c r="F38" s="15">
        <v>5</v>
      </c>
      <c r="G38" s="15">
        <v>1</v>
      </c>
      <c r="H38" s="15" t="str">
        <f t="shared" si="1"/>
        <v>No apto</v>
      </c>
    </row>
    <row r="39" spans="1:8" ht="17.25" customHeight="1">
      <c r="A39" s="1"/>
      <c r="D39" s="15" t="s">
        <v>77</v>
      </c>
      <c r="E39" s="15">
        <v>6</v>
      </c>
      <c r="F39" s="15">
        <v>12</v>
      </c>
      <c r="G39" s="15">
        <v>9</v>
      </c>
      <c r="H39" s="15" t="str">
        <f t="shared" si="1"/>
        <v>Apto</v>
      </c>
    </row>
    <row r="40" spans="1:8" ht="17.25" customHeight="1">
      <c r="A40" s="1"/>
      <c r="D40" s="15" t="s">
        <v>78</v>
      </c>
      <c r="E40" s="15">
        <v>2</v>
      </c>
      <c r="F40" s="15">
        <v>3</v>
      </c>
      <c r="G40" s="15">
        <v>6</v>
      </c>
      <c r="H40" s="15" t="str">
        <f t="shared" si="1"/>
        <v>No apto</v>
      </c>
    </row>
    <row r="41" spans="1:8" ht="15.75" customHeight="1">
      <c r="A41" s="1"/>
    </row>
    <row r="42" spans="1:8" ht="15.75" customHeight="1">
      <c r="A42" s="1"/>
    </row>
    <row r="43" spans="1:8" ht="15.75" customHeight="1">
      <c r="A43" s="1"/>
    </row>
    <row r="44" spans="1:8" ht="15.75" customHeight="1">
      <c r="A44" s="1"/>
    </row>
    <row r="45" spans="1:8" ht="15.75" customHeight="1">
      <c r="A45" s="1"/>
    </row>
    <row r="46" spans="1:8" ht="15.75" customHeight="1">
      <c r="A46" s="1"/>
    </row>
    <row r="47" spans="1:8" ht="15.75" customHeight="1">
      <c r="A47" s="1"/>
    </row>
    <row r="48" spans="1:8" ht="15.75" customHeight="1">
      <c r="A48" s="1"/>
    </row>
    <row r="49" spans="1:1" ht="15.75" customHeight="1">
      <c r="A49" s="1"/>
    </row>
    <row r="50" spans="1:1" ht="15.75" customHeight="1">
      <c r="A50" s="1"/>
    </row>
    <row r="51" spans="1:1" ht="15.75" customHeight="1">
      <c r="A51" s="1"/>
    </row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>
      <c r="A56" s="1"/>
    </row>
    <row r="57" spans="1:1" ht="15.75" customHeight="1">
      <c r="A57" s="1"/>
    </row>
    <row r="58" spans="1:1" ht="15.75" customHeight="1">
      <c r="A58" s="1"/>
    </row>
    <row r="59" spans="1:1" ht="15.75" customHeight="1">
      <c r="A59" s="1"/>
    </row>
    <row r="60" spans="1:1" ht="15.75" customHeight="1">
      <c r="A60" s="1"/>
    </row>
    <row r="61" spans="1:1" ht="15.75" customHeight="1">
      <c r="A61" s="1"/>
    </row>
    <row r="62" spans="1:1" ht="15.75" customHeight="1">
      <c r="A62" s="1"/>
    </row>
    <row r="63" spans="1:1" ht="15.75" customHeight="1">
      <c r="A63" s="1"/>
    </row>
    <row r="64" spans="1:1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  <row r="954" spans="1:1" ht="15.75" customHeight="1">
      <c r="A954" s="1"/>
    </row>
    <row r="955" spans="1:1" ht="15.75" customHeight="1">
      <c r="A955" s="1"/>
    </row>
    <row r="956" spans="1:1" ht="15.75" customHeight="1">
      <c r="A956" s="1"/>
    </row>
    <row r="957" spans="1:1" ht="15.75" customHeight="1">
      <c r="A957" s="1"/>
    </row>
    <row r="958" spans="1:1" ht="15.75" customHeight="1">
      <c r="A958" s="1"/>
    </row>
    <row r="959" spans="1:1" ht="15.75" customHeight="1">
      <c r="A959" s="1"/>
    </row>
    <row r="960" spans="1:1" ht="15.75" customHeight="1">
      <c r="A960" s="1"/>
    </row>
    <row r="961" spans="1:1" ht="15.75" customHeight="1">
      <c r="A961" s="1"/>
    </row>
    <row r="962" spans="1:1" ht="15.75" customHeight="1">
      <c r="A962" s="1"/>
    </row>
    <row r="963" spans="1:1" ht="15.75" customHeight="1">
      <c r="A963" s="1"/>
    </row>
    <row r="964" spans="1:1" ht="15.75" customHeight="1">
      <c r="A964" s="1"/>
    </row>
    <row r="965" spans="1:1" ht="15.75" customHeight="1">
      <c r="A965" s="1"/>
    </row>
    <row r="966" spans="1:1" ht="15.75" customHeight="1">
      <c r="A966" s="1"/>
    </row>
    <row r="967" spans="1:1" ht="15.75" customHeight="1">
      <c r="A967" s="1"/>
    </row>
    <row r="968" spans="1:1" ht="15.75" customHeight="1">
      <c r="A968" s="1"/>
    </row>
    <row r="969" spans="1:1" ht="15.75" customHeight="1">
      <c r="A969" s="1"/>
    </row>
    <row r="970" spans="1:1" ht="15.75" customHeight="1">
      <c r="A970" s="1"/>
    </row>
    <row r="971" spans="1:1" ht="15.75" customHeight="1">
      <c r="A971" s="1"/>
    </row>
    <row r="972" spans="1:1" ht="15.75" customHeight="1">
      <c r="A972" s="1"/>
    </row>
    <row r="973" spans="1:1" ht="15.75" customHeight="1">
      <c r="A973" s="1"/>
    </row>
    <row r="974" spans="1:1" ht="15.75" customHeight="1">
      <c r="A974" s="1"/>
    </row>
    <row r="975" spans="1:1" ht="15.75" customHeight="1">
      <c r="A975" s="1"/>
    </row>
    <row r="976" spans="1:1" ht="15.75" customHeight="1">
      <c r="A976" s="1"/>
    </row>
    <row r="977" spans="1:1" ht="15.75" customHeight="1">
      <c r="A977" s="1"/>
    </row>
    <row r="978" spans="1:1" ht="15.75" customHeight="1">
      <c r="A978" s="1"/>
    </row>
    <row r="979" spans="1:1" ht="15.75" customHeight="1">
      <c r="A979" s="1"/>
    </row>
    <row r="980" spans="1:1" ht="15.75" customHeight="1">
      <c r="A980" s="1"/>
    </row>
    <row r="981" spans="1:1" ht="15.75" customHeight="1">
      <c r="A981" s="1"/>
    </row>
    <row r="982" spans="1:1" ht="15.75" customHeight="1">
      <c r="A982" s="1"/>
    </row>
    <row r="983" spans="1:1" ht="15.75" customHeight="1">
      <c r="A983" s="1"/>
    </row>
    <row r="984" spans="1:1" ht="15.75" customHeight="1">
      <c r="A984" s="1"/>
    </row>
    <row r="985" spans="1:1" ht="15.75" customHeight="1">
      <c r="A985" s="1"/>
    </row>
    <row r="986" spans="1:1" ht="15.75" customHeight="1">
      <c r="A986" s="1"/>
    </row>
    <row r="987" spans="1:1" ht="15.75" customHeight="1">
      <c r="A987" s="1"/>
    </row>
    <row r="988" spans="1:1" ht="15.75" customHeight="1">
      <c r="A988" s="1"/>
    </row>
    <row r="989" spans="1:1" ht="15.75" customHeight="1">
      <c r="A989" s="1"/>
    </row>
    <row r="990" spans="1:1" ht="15.75" customHeight="1">
      <c r="A990" s="1"/>
    </row>
    <row r="991" spans="1:1" ht="15.75" customHeight="1">
      <c r="A991" s="1"/>
    </row>
    <row r="992" spans="1:1" ht="15.75" customHeight="1">
      <c r="A992" s="1"/>
    </row>
    <row r="993" spans="1:1" ht="15.75" customHeight="1">
      <c r="A993" s="1"/>
    </row>
    <row r="994" spans="1:1" ht="15.75" customHeight="1">
      <c r="A994" s="1"/>
    </row>
    <row r="995" spans="1:1" ht="15.75" customHeight="1">
      <c r="A995" s="1"/>
    </row>
    <row r="996" spans="1:1" ht="15.75" customHeight="1">
      <c r="A996" s="1"/>
    </row>
    <row r="997" spans="1:1" ht="15.75" customHeight="1">
      <c r="A997" s="1"/>
    </row>
    <row r="998" spans="1:1" ht="15.75" customHeight="1">
      <c r="A998" s="1"/>
    </row>
    <row r="999" spans="1:1" ht="15.75" customHeight="1">
      <c r="A999" s="1"/>
    </row>
    <row r="1000" spans="1:1" ht="15.75" customHeight="1">
      <c r="A1000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F.Si</vt:lpstr>
      <vt:lpstr>F.Y</vt:lpstr>
      <vt:lpstr>F.O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Nick Muñoz Maldonado</dc:creator>
  <cp:lastModifiedBy>ADMIN</cp:lastModifiedBy>
  <dcterms:created xsi:type="dcterms:W3CDTF">2018-08-27T13:53:39Z</dcterms:created>
  <dcterms:modified xsi:type="dcterms:W3CDTF">2025-12-14T21:34:45Z</dcterms:modified>
</cp:coreProperties>
</file>