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BFCD45D-F471-445E-AB1B-5C7AEAB19F8A}" xr6:coauthVersionLast="47" xr6:coauthVersionMax="47" xr10:uidLastSave="{00000000-0000-0000-0000-000000000000}"/>
  <bookViews>
    <workbookView xWindow="2265" yWindow="2625" windowWidth="22200" windowHeight="11295" tabRatio="618" activeTab="1" xr2:uid="{00000000-000D-0000-FFFF-FFFF00000000}"/>
  </bookViews>
  <sheets>
    <sheet name="R.Relativas" sheetId="1" r:id="rId1"/>
    <sheet name="R.Absolutas" sheetId="2" r:id="rId2"/>
    <sheet name="R.Mixta.Columna.Fija Fila.Fija" sheetId="4" r:id="rId3"/>
    <sheet name="R.Externa.Data.Mes" sheetId="6" r:id="rId4"/>
    <sheet name="R.Externa.Consolidado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4" l="1"/>
  <c r="E31" i="9"/>
  <c r="E27" i="9"/>
  <c r="E24" i="9"/>
  <c r="E20" i="9"/>
  <c r="P34" i="4"/>
  <c r="P35" i="4"/>
  <c r="P36" i="4"/>
  <c r="P37" i="4"/>
  <c r="P38" i="4"/>
  <c r="P39" i="4"/>
  <c r="P40" i="4"/>
  <c r="P41" i="4"/>
  <c r="P42" i="4"/>
  <c r="P43" i="4"/>
  <c r="P44" i="4"/>
  <c r="P33" i="4"/>
  <c r="O44" i="4"/>
  <c r="N44" i="4"/>
  <c r="O34" i="4"/>
  <c r="O35" i="4"/>
  <c r="O36" i="4"/>
  <c r="O37" i="4"/>
  <c r="O38" i="4"/>
  <c r="O39" i="4"/>
  <c r="O40" i="4"/>
  <c r="O41" i="4"/>
  <c r="O42" i="4"/>
  <c r="O43" i="4"/>
  <c r="O33" i="4"/>
  <c r="N34" i="4"/>
  <c r="N35" i="4"/>
  <c r="N36" i="4"/>
  <c r="N37" i="4"/>
  <c r="N38" i="4"/>
  <c r="N39" i="4"/>
  <c r="N40" i="4"/>
  <c r="N41" i="4"/>
  <c r="N42" i="4"/>
  <c r="N43" i="4"/>
  <c r="N33" i="4"/>
  <c r="M34" i="4"/>
  <c r="M35" i="4"/>
  <c r="M36" i="4"/>
  <c r="M37" i="4"/>
  <c r="M38" i="4"/>
  <c r="M39" i="4"/>
  <c r="M40" i="4"/>
  <c r="M41" i="4"/>
  <c r="M42" i="4"/>
  <c r="M43" i="4"/>
  <c r="M44" i="4"/>
  <c r="M33" i="4"/>
  <c r="L34" i="4"/>
  <c r="L35" i="4"/>
  <c r="L36" i="4"/>
  <c r="L37" i="4"/>
  <c r="L38" i="4"/>
  <c r="L39" i="4"/>
  <c r="L40" i="4"/>
  <c r="L41" i="4"/>
  <c r="L42" i="4"/>
  <c r="L43" i="4"/>
  <c r="L44" i="4"/>
  <c r="L33" i="4"/>
  <c r="K34" i="4"/>
  <c r="K35" i="4"/>
  <c r="K36" i="4"/>
  <c r="K37" i="4"/>
  <c r="K38" i="4"/>
  <c r="K39" i="4"/>
  <c r="K40" i="4"/>
  <c r="K41" i="4"/>
  <c r="K42" i="4"/>
  <c r="K43" i="4"/>
  <c r="K44" i="4"/>
  <c r="K33" i="4"/>
  <c r="J34" i="4"/>
  <c r="J35" i="4"/>
  <c r="J36" i="4"/>
  <c r="J37" i="4"/>
  <c r="J38" i="4"/>
  <c r="J39" i="4"/>
  <c r="J40" i="4"/>
  <c r="J41" i="4"/>
  <c r="J42" i="4"/>
  <c r="J43" i="4"/>
  <c r="J44" i="4"/>
  <c r="J33" i="4"/>
  <c r="I34" i="4"/>
  <c r="I35" i="4"/>
  <c r="I36" i="4"/>
  <c r="I37" i="4"/>
  <c r="I38" i="4"/>
  <c r="I39" i="4"/>
  <c r="I40" i="4"/>
  <c r="I41" i="4"/>
  <c r="I42" i="4"/>
  <c r="I43" i="4"/>
  <c r="I44" i="4"/>
  <c r="I33" i="4"/>
  <c r="H34" i="4"/>
  <c r="H35" i="4"/>
  <c r="H36" i="4"/>
  <c r="H37" i="4"/>
  <c r="H38" i="4"/>
  <c r="H39" i="4"/>
  <c r="H40" i="4"/>
  <c r="H41" i="4"/>
  <c r="H42" i="4"/>
  <c r="H43" i="4"/>
  <c r="H44" i="4"/>
  <c r="H33" i="4"/>
  <c r="G34" i="4"/>
  <c r="G35" i="4"/>
  <c r="G36" i="4"/>
  <c r="G37" i="4"/>
  <c r="G38" i="4"/>
  <c r="G39" i="4"/>
  <c r="G40" i="4"/>
  <c r="G41" i="4"/>
  <c r="G42" i="4"/>
  <c r="G43" i="4"/>
  <c r="G44" i="4"/>
  <c r="G33" i="4"/>
  <c r="F34" i="4"/>
  <c r="F35" i="4"/>
  <c r="F36" i="4"/>
  <c r="F37" i="4"/>
  <c r="F38" i="4"/>
  <c r="F39" i="4"/>
  <c r="F40" i="4"/>
  <c r="F41" i="4"/>
  <c r="F42" i="4"/>
  <c r="F43" i="4"/>
  <c r="F44" i="4"/>
  <c r="F33" i="4"/>
  <c r="E34" i="4"/>
  <c r="E35" i="4"/>
  <c r="E36" i="4"/>
  <c r="E37" i="4"/>
  <c r="E38" i="4"/>
  <c r="E39" i="4"/>
  <c r="E40" i="4"/>
  <c r="E41" i="4"/>
  <c r="E42" i="4"/>
  <c r="E43" i="4"/>
  <c r="E44" i="4"/>
  <c r="E33" i="4"/>
  <c r="K22" i="4"/>
  <c r="K23" i="4"/>
  <c r="K24" i="4"/>
  <c r="K25" i="4"/>
  <c r="K21" i="4"/>
  <c r="J22" i="4"/>
  <c r="J23" i="4"/>
  <c r="J24" i="4"/>
  <c r="J25" i="4"/>
  <c r="J21" i="4"/>
  <c r="I22" i="4"/>
  <c r="I23" i="4"/>
  <c r="I24" i="4"/>
  <c r="I25" i="4"/>
  <c r="I21" i="4"/>
  <c r="H22" i="4"/>
  <c r="H23" i="4"/>
  <c r="H24" i="4"/>
  <c r="H25" i="4"/>
  <c r="G22" i="4"/>
  <c r="G23" i="4"/>
  <c r="G24" i="4"/>
  <c r="G25" i="4"/>
  <c r="H21" i="4"/>
  <c r="F34" i="2"/>
  <c r="F35" i="2"/>
  <c r="F36" i="2"/>
  <c r="F37" i="2"/>
  <c r="F38" i="2"/>
  <c r="F33" i="2"/>
  <c r="E34" i="2"/>
  <c r="E35" i="2"/>
  <c r="E36" i="2"/>
  <c r="E37" i="2"/>
  <c r="E38" i="2"/>
  <c r="E33" i="2"/>
  <c r="E20" i="2"/>
  <c r="E21" i="2"/>
  <c r="E22" i="2"/>
  <c r="E23" i="2"/>
  <c r="E19" i="2"/>
  <c r="H20" i="1"/>
  <c r="H21" i="1"/>
  <c r="H22" i="1"/>
  <c r="H23" i="1"/>
  <c r="G32" i="1"/>
  <c r="G33" i="1"/>
  <c r="G34" i="1"/>
  <c r="G35" i="1"/>
  <c r="G36" i="1"/>
  <c r="G37" i="1"/>
  <c r="G38" i="1"/>
  <c r="G39" i="1"/>
  <c r="G40" i="1"/>
  <c r="G41" i="1"/>
  <c r="G42" i="1"/>
  <c r="G31" i="1"/>
  <c r="H19" i="1"/>
  <c r="H28" i="9"/>
  <c r="H27" i="9"/>
  <c r="H26" i="9"/>
  <c r="H25" i="9"/>
  <c r="H24" i="9"/>
  <c r="H23" i="9"/>
  <c r="H21" i="9"/>
  <c r="H20" i="9"/>
  <c r="H19" i="9"/>
</calcChain>
</file>

<file path=xl/sharedStrings.xml><?xml version="1.0" encoding="utf-8"?>
<sst xmlns="http://schemas.openxmlformats.org/spreadsheetml/2006/main" count="123" uniqueCount="79">
  <si>
    <t>Concepto:</t>
  </si>
  <si>
    <t>Sintaxis:</t>
  </si>
  <si>
    <t>Ejemplo1:</t>
  </si>
  <si>
    <t>Ejemplo2:</t>
  </si>
  <si>
    <t>CÓDIGO</t>
  </si>
  <si>
    <t>TEMA: REFERENCIAS</t>
  </si>
  <si>
    <t>RELATIVAS</t>
  </si>
  <si>
    <t>Lo relativo se aprecia cuando copias una fórmula y Excel actualiza la misma fórmula dependiendo del lugar a dónde vayas a pegarla.</t>
  </si>
  <si>
    <t>PRECIO</t>
  </si>
  <si>
    <t>TOTAL</t>
  </si>
  <si>
    <t>PL-7T</t>
  </si>
  <si>
    <t>PL-8T</t>
  </si>
  <si>
    <t>PL-9T</t>
  </si>
  <si>
    <t>PL-10T</t>
  </si>
  <si>
    <t>PL-11T</t>
  </si>
  <si>
    <t>CANTIDAD VENDIDA</t>
  </si>
  <si>
    <t>PRODUCTO</t>
  </si>
  <si>
    <t>LAPTOP</t>
  </si>
  <si>
    <t>IMPRESORA</t>
  </si>
  <si>
    <t>MOUSE</t>
  </si>
  <si>
    <t>TECLADO</t>
  </si>
  <si>
    <t>TONERS</t>
  </si>
  <si>
    <t>COTIZACIONES</t>
  </si>
  <si>
    <t>MES</t>
  </si>
  <si>
    <t>INGRESOS</t>
  </si>
  <si>
    <t>GASTOS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</si>
  <si>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</si>
  <si>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</si>
  <si>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</si>
  <si>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</si>
  <si>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</si>
  <si>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</si>
  <si>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</si>
  <si>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</si>
  <si>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</si>
  <si>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</si>
  <si>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</si>
  <si>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</si>
  <si>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ABSOLUTAS</t>
  </si>
  <si>
    <t>CAPITALES</t>
  </si>
  <si>
    <t>GANANCIA</t>
  </si>
  <si>
    <t>PORCENTAJE DE DESCUENTO</t>
  </si>
  <si>
    <t>DÓLAR</t>
  </si>
  <si>
    <t>EURO</t>
  </si>
  <si>
    <t>NUEVOS SOLES</t>
  </si>
  <si>
    <t>Mixta. Columna Fija</t>
  </si>
  <si>
    <t>TABLA DE MULTIPLICAR</t>
  </si>
  <si>
    <t>ARTÍCULO</t>
  </si>
  <si>
    <t>TR-01</t>
  </si>
  <si>
    <t>TR-03</t>
  </si>
  <si>
    <t>TR-02</t>
  </si>
  <si>
    <t>TR-04</t>
  </si>
  <si>
    <t>TR-05</t>
  </si>
  <si>
    <t>Mouse</t>
  </si>
  <si>
    <t>Memoria</t>
  </si>
  <si>
    <t>Parlante</t>
  </si>
  <si>
    <t>WebCam</t>
  </si>
  <si>
    <t>Micrófono</t>
  </si>
  <si>
    <t>Cantidad vendida Enero</t>
  </si>
  <si>
    <t>Cantidad vendida Febrero</t>
  </si>
  <si>
    <t>Cantidad vendida Marzo</t>
  </si>
  <si>
    <t>Cantidad vendida Abril</t>
  </si>
  <si>
    <t>Cantidad vendida Mayo</t>
  </si>
  <si>
    <t>EXTERNAS</t>
  </si>
  <si>
    <t>Artículo</t>
  </si>
  <si>
    <t>Jabón</t>
  </si>
  <si>
    <t>Pasta dental</t>
  </si>
  <si>
    <t>Cepillo</t>
  </si>
  <si>
    <t>Shampoo</t>
  </si>
  <si>
    <t>Producción 2017</t>
  </si>
  <si>
    <t>Producción Total 2017</t>
  </si>
  <si>
    <r>
      <t xml:space="preserve">Las </t>
    </r>
    <r>
      <rPr>
        <b/>
        <sz val="12"/>
        <color rgb="FFFF6060"/>
        <rFont val="Inter"/>
      </rPr>
      <t>Referencias</t>
    </r>
    <r>
      <rPr>
        <sz val="12"/>
        <color rgb="FF4F4F4F"/>
        <rFont val="Inter"/>
      </rPr>
      <t xml:space="preserve"> en Excel son por defecto Relativas.</t>
    </r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</si>
  <si>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referencia Absoluta</t>
    </r>
    <r>
      <rPr>
        <sz val="12"/>
        <color rgb="FF4F4F4F"/>
        <rFont val="Inter"/>
      </rPr>
      <t xml:space="preserve"> se puede identificar cuando la fórmula es copiada y la referencia de la celda no hace ningún cambio.</t>
    </r>
  </si>
  <si>
    <r>
      <rPr>
        <sz val="12"/>
        <color rgb="FF4F4F4F"/>
        <rFont val="Inter"/>
      </rPr>
      <t xml:space="preserve">Asimismo, podemos identificarlo cuando el signo de dólar  </t>
    </r>
    <r>
      <rPr>
        <b/>
        <sz val="12"/>
        <color rgb="FFFF6060"/>
        <rFont val="Inter"/>
      </rPr>
      <t>($)</t>
    </r>
    <r>
      <rPr>
        <sz val="12"/>
        <color rgb="FF4F4F4F"/>
        <rFont val="Inter"/>
      </rPr>
      <t xml:space="preserve"> es colocado antes de la columna y otro signo de dólar  </t>
    </r>
    <r>
      <rPr>
        <b/>
        <sz val="12"/>
        <color rgb="FFFF6060"/>
        <rFont val="Inter"/>
      </rPr>
      <t>($)</t>
    </r>
    <r>
      <rPr>
        <sz val="12"/>
        <color rgb="FF4F4F4F"/>
        <rFont val="Inter"/>
      </rPr>
      <t xml:space="preserve"> antes de la fila que se intercepta  para formar esa celda.</t>
    </r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</si>
  <si>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Referencia Mixta. Columna Fija</t>
    </r>
    <r>
      <rPr>
        <b/>
        <sz val="12"/>
        <color rgb="FF4F4F4F"/>
        <rFont val="Inter"/>
      </rPr>
      <t xml:space="preserve"> </t>
    </r>
    <r>
      <rPr>
        <sz val="12"/>
        <color rgb="FF4F4F4F"/>
        <rFont val="Inter"/>
      </rPr>
      <t>se utiliza cuando la referencia es parcialmente absoluta. Cuando la fórmula es copiada, la parte de la columna se ajusta, pero la parte de la fila no hace ningún cambio.</t>
    </r>
  </si>
  <si>
    <r>
      <rPr>
        <sz val="12"/>
        <color rgb="FF4F4F4F"/>
        <rFont val="Inter"/>
      </rPr>
      <t xml:space="preserve">Asimismo, podemos identificarlo cuando el signo de dólar  </t>
    </r>
    <r>
      <rPr>
        <b/>
        <sz val="12"/>
        <color rgb="FFFF6060"/>
        <rFont val="Inter"/>
      </rPr>
      <t>($)</t>
    </r>
    <r>
      <rPr>
        <sz val="12"/>
        <color rgb="FF4F4F4F"/>
        <rFont val="Inter"/>
      </rPr>
      <t xml:space="preserve"> es colocado antes de la columna que se intercepta  para formar esa celda.</t>
    </r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</si>
  <si>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Referencia Mixta. Fila Fija</t>
    </r>
    <r>
      <rPr>
        <b/>
        <sz val="12"/>
        <color rgb="FF4F4F4F"/>
        <rFont val="Inter"/>
      </rPr>
      <t xml:space="preserve"> </t>
    </r>
    <r>
      <rPr>
        <sz val="12"/>
        <color rgb="FF4F4F4F"/>
        <rFont val="Inter"/>
      </rPr>
      <t>se utiliza cuando la referencia es parcialmente absoluta. Cuando la fórmula es copiada, la parte de la fila se ajusta, pero la parte de la columna no hace ningún cambio.</t>
    </r>
  </si>
  <si>
    <r>
      <rPr>
        <sz val="12"/>
        <color rgb="FF4F4F4F"/>
        <rFont val="Inter"/>
      </rPr>
      <t xml:space="preserve">Asimismo, podemos identificarlo cuando el signo de dólar  </t>
    </r>
    <r>
      <rPr>
        <b/>
        <sz val="12"/>
        <color rgb="FFFF6060"/>
        <rFont val="Inter"/>
      </rPr>
      <t>($)</t>
    </r>
    <r>
      <rPr>
        <sz val="12"/>
        <color rgb="FFFF6060"/>
        <rFont val="Inter"/>
      </rPr>
      <t xml:space="preserve"> </t>
    </r>
    <r>
      <rPr>
        <sz val="12"/>
        <color rgb="FF4F4F4F"/>
        <rFont val="Inter"/>
      </rPr>
      <t>es colocado antes de la columna que se intercepta  para formar esa celda.</t>
    </r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</si>
  <si>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referencia Externa</t>
    </r>
    <r>
      <rPr>
        <sz val="12"/>
        <color rgb="FF4F4F4F"/>
        <rFont val="Inter"/>
      </rPr>
      <t xml:space="preserve"> se utiliza cuando se presenta la necesidad de hacer referencia a una celda que se encuentra ubicada en una hoja diferente.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</si>
</sst>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S/.&quot;* #,##0.00_-;\-&quot;S/.&quot;* #,##0.00_-;_-&quot;S/.&quot;* &quot;-&quot;??_-;_-@_-"/>
    <numFmt numFmtId="165" formatCode="_-&quot;S/.&quot;* #,##0_-;\-&quot;S/.&quot;* #,##0_-;_-&quot;S/.&quot;* &quot;-&quot;??_-;_-@_-"/>
    <numFmt numFmtId="166" formatCode="&quot;S/.&quot;#,##0.00"/>
    <numFmt numFmtId="168" formatCode="&quot;S/&quot;\ #,##0.00"/>
    <numFmt numFmtId="169" formatCode="[$$-409]#,##0.00_ ;\-[$$-409]#,##0.00\ "/>
    <numFmt numFmtId="171" formatCode="#,##0.00\ [$€-C0A];\-#,##0.00\ [$€-C0A]"/>
  </numFmts>
  <fonts count="27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rgb="FF013C64"/>
      <name val="Century Gothic"/>
      <family val="2"/>
    </font>
    <font>
      <sz val="12"/>
      <color theme="1"/>
      <name val="Century Gothic"/>
      <family val="2"/>
    </font>
    <font>
      <sz val="12"/>
      <color theme="0"/>
      <name val="Century Gothic"/>
      <family val="2"/>
    </font>
    <font>
      <sz val="11"/>
      <color theme="1"/>
      <name val="Calibri"/>
      <family val="2"/>
      <scheme val="minor"/>
    </font>
    <font>
      <sz val="12"/>
      <name val="Century Gothic"/>
      <family val="2"/>
    </font>
    <font>
      <b/>
      <sz val="29"/>
      <color rgb="FF000000"/>
      <name val="Krona One"/>
    </font>
    <font>
      <b/>
      <sz val="15"/>
      <color theme="3"/>
      <name val="Inter"/>
    </font>
    <font>
      <sz val="11"/>
      <color theme="1"/>
      <name val="Inter"/>
    </font>
    <font>
      <b/>
      <sz val="12"/>
      <color rgb="FF013C64"/>
      <name val="Inter"/>
    </font>
    <font>
      <sz val="12"/>
      <color theme="1"/>
      <name val="Inter"/>
    </font>
    <font>
      <sz val="11"/>
      <color theme="0"/>
      <name val="Inter"/>
    </font>
    <font>
      <sz val="12"/>
      <name val="Inter"/>
    </font>
    <font>
      <b/>
      <sz val="12"/>
      <color theme="1" tint="4.9989318521683403E-2"/>
      <name val="Inter"/>
    </font>
    <font>
      <sz val="11"/>
      <name val="Inter"/>
    </font>
    <font>
      <b/>
      <sz val="12"/>
      <color theme="1"/>
      <name val="Inter"/>
    </font>
    <font>
      <b/>
      <sz val="16"/>
      <color rgb="FFFF6060"/>
      <name val="Inter"/>
    </font>
    <font>
      <sz val="12"/>
      <color rgb="FF4F4F4F"/>
      <name val="Inter"/>
    </font>
    <font>
      <b/>
      <sz val="12"/>
      <color rgb="FF4F4F4F"/>
      <name val="Inter"/>
    </font>
    <font>
      <sz val="11"/>
      <color rgb="FF4F4F4F"/>
      <name val="Inter"/>
    </font>
    <font>
      <b/>
      <sz val="12"/>
      <color rgb="FFFF6060"/>
      <name val="Inter"/>
    </font>
    <font>
      <sz val="11"/>
      <color theme="1" tint="4.9989318521683403E-2"/>
      <name val="Inter"/>
    </font>
    <font>
      <b/>
      <sz val="12"/>
      <color theme="1"/>
      <name val="Century Gothic"/>
      <family val="1"/>
    </font>
    <font>
      <sz val="12"/>
      <color rgb="FFFF6060"/>
      <name val="Inter"/>
    </font>
  </fonts>
  <fills count="5">
    <fill>
      <patternFill patternType="none"/>
    </fill>
    <fill>
      <patternFill patternType="gray125"/>
    </fill>
    <fill>
      <patternFill patternType="solid">
        <fgColor rgb="FF4F4F4F"/>
        <bgColor indexed="64"/>
      </patternFill>
    </fill>
    <fill>
      <patternFill patternType="solid">
        <fgColor rgb="FF78DAD5"/>
        <bgColor indexed="64"/>
      </patternFill>
    </fill>
    <fill>
      <patternFill patternType="solid">
        <fgColor rgb="FFFF6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7ADBD7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Font="1"/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/>
    <xf numFmtId="0" fontId="2" fillId="0" borderId="0" xfId="0" applyFont="1"/>
    <xf numFmtId="0" fontId="3" fillId="0" borderId="0" xfId="0" applyNumberFormat="1" applyFont="1"/>
    <xf numFmtId="0" fontId="6" fillId="0" borderId="0" xfId="0" applyFont="1" applyFill="1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66" fontId="8" fillId="0" borderId="0" xfId="0" applyNumberFormat="1" applyFont="1" applyFill="1" applyAlignment="1">
      <alignment horizontal="center" vertical="center" wrapText="1"/>
    </xf>
    <xf numFmtId="166" fontId="0" fillId="0" borderId="0" xfId="0" applyNumberFormat="1"/>
    <xf numFmtId="0" fontId="0" fillId="2" borderId="0" xfId="0" applyFill="1"/>
    <xf numFmtId="0" fontId="9" fillId="0" borderId="2" xfId="1" applyFont="1" applyBorder="1" applyAlignment="1">
      <alignment vertical="center"/>
    </xf>
    <xf numFmtId="0" fontId="10" fillId="0" borderId="2" xfId="1" applyFont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/>
    <xf numFmtId="0" fontId="15" fillId="0" borderId="0" xfId="0" applyFont="1" applyFill="1" applyAlignment="1">
      <alignment horizontal="center" vertical="center" wrapText="1"/>
    </xf>
    <xf numFmtId="166" fontId="15" fillId="0" borderId="0" xfId="0" applyNumberFormat="1" applyFont="1" applyFill="1" applyAlignment="1">
      <alignment horizontal="center" vertical="center" wrapText="1"/>
    </xf>
    <xf numFmtId="166" fontId="11" fillId="0" borderId="0" xfId="3" applyNumberFormat="1" applyFont="1"/>
    <xf numFmtId="165" fontId="11" fillId="0" borderId="0" xfId="3" applyNumberFormat="1" applyFont="1"/>
    <xf numFmtId="0" fontId="14" fillId="0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7" fillId="0" borderId="0" xfId="0" applyFont="1" applyFill="1" applyAlignment="1">
      <alignment horizontal="center" vertical="center" wrapText="1"/>
    </xf>
    <xf numFmtId="166" fontId="17" fillId="0" borderId="0" xfId="0" applyNumberFormat="1" applyFont="1" applyFill="1" applyAlignment="1">
      <alignment horizontal="center" vertical="center" wrapText="1"/>
    </xf>
    <xf numFmtId="0" fontId="17" fillId="0" borderId="0" xfId="0" applyFont="1" applyFill="1" applyAlignment="1">
      <alignment horizontal="left"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 applyAlignment="1"/>
    <xf numFmtId="0" fontId="22" fillId="0" borderId="0" xfId="0" applyFont="1"/>
    <xf numFmtId="166" fontId="24" fillId="0" borderId="0" xfId="0" applyNumberFormat="1" applyFont="1" applyFill="1" applyAlignment="1">
      <alignment horizontal="center" vertical="center" wrapText="1"/>
    </xf>
    <xf numFmtId="166" fontId="24" fillId="0" borderId="0" xfId="0" applyNumberFormat="1" applyFont="1" applyFill="1" applyAlignment="1">
      <alignment horizontal="left" vertical="center" wrapText="1"/>
    </xf>
    <xf numFmtId="0" fontId="18" fillId="3" borderId="0" xfId="0" applyFont="1" applyFill="1" applyAlignment="1">
      <alignment horizontal="center" vertical="center" wrapText="1"/>
    </xf>
    <xf numFmtId="9" fontId="11" fillId="0" borderId="0" xfId="0" applyNumberFormat="1" applyFont="1" applyAlignment="1">
      <alignment horizontal="center" vertical="center"/>
    </xf>
    <xf numFmtId="0" fontId="11" fillId="4" borderId="0" xfId="0" applyFont="1" applyFill="1"/>
    <xf numFmtId="0" fontId="13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 wrapText="1"/>
    </xf>
    <xf numFmtId="164" fontId="17" fillId="0" borderId="0" xfId="3" applyFont="1" applyFill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11" fillId="0" borderId="0" xfId="0" applyFont="1" applyAlignment="1">
      <alignment horizontal="left"/>
    </xf>
    <xf numFmtId="0" fontId="24" fillId="0" borderId="0" xfId="0" applyFont="1" applyAlignment="1"/>
    <xf numFmtId="0" fontId="16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66" fontId="11" fillId="0" borderId="0" xfId="3" applyNumberFormat="1" applyFont="1" applyAlignment="1">
      <alignment wrapText="1"/>
    </xf>
    <xf numFmtId="168" fontId="15" fillId="0" borderId="0" xfId="0" applyNumberFormat="1" applyFont="1" applyFill="1" applyAlignment="1">
      <alignment horizontal="center" vertical="center" wrapText="1"/>
    </xf>
    <xf numFmtId="169" fontId="5" fillId="0" borderId="0" xfId="3" applyNumberFormat="1" applyFont="1" applyAlignment="1">
      <alignment horizontal="center"/>
    </xf>
    <xf numFmtId="171" fontId="5" fillId="0" borderId="0" xfId="3" applyNumberFormat="1" applyFont="1" applyAlignment="1">
      <alignment horizontal="center"/>
    </xf>
    <xf numFmtId="165" fontId="8" fillId="0" borderId="0" xfId="3" applyNumberFormat="1" applyFont="1" applyFill="1" applyAlignment="1">
      <alignment horizontal="center" vertical="center" wrapText="1"/>
    </xf>
  </cellXfs>
  <cellStyles count="4">
    <cellStyle name="Encabezado 1" xfId="1" builtinId="16"/>
    <cellStyle name="Moneda" xfId="3" builtinId="4"/>
    <cellStyle name="Normal" xfId="0" builtinId="0"/>
    <cellStyle name="Normal 3" xfId="2" xr:uid="{00000000-0005-0000-0000-000003000000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060"/>
      <color rgb="FF4F4F4F"/>
      <color rgb="FF78DAD5"/>
      <color rgb="FF828282"/>
      <color rgb="FF013C64"/>
      <color rgb="FFE84F13"/>
      <color rgb="FF0187CE"/>
      <color rgb="FF838383"/>
      <color rgb="FF008F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304800</xdr:colOff>
      <xdr:row>0</xdr:row>
      <xdr:rowOff>142875</xdr:rowOff>
    </xdr:from>
    <xdr:to>
      <xdr:col>6</xdr:col>
      <xdr:colOff>794861</xdr:colOff>
      <xdr:row>5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228725" y="142875"/>
          <a:ext cx="4326437" cy="990600"/>
        </a:xfrm>
        <a:prstGeom prst="rect">
          <a:avLst/>
        </a:prstGeom>
      </xdr:spPr>
    </xdr:pic>
    <xdr:clientData/>
  </xdr:twoCellAnchor>
  <xdr:twoCellAnchor>
    <xdr:from>
      <xdr:col>8</xdr:col>
      <xdr:colOff>151232</xdr:colOff>
      <xdr:row>17</xdr:row>
      <xdr:rowOff>3174</xdr:rowOff>
    </xdr:from>
    <xdr:to>
      <xdr:col>11</xdr:col>
      <xdr:colOff>180808</xdr:colOff>
      <xdr:row>19</xdr:row>
      <xdr:rowOff>101599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996532" y="3533774"/>
          <a:ext cx="2747376" cy="771525"/>
        </a:xfrm>
        <a:prstGeom prst="rect">
          <a:avLst/>
        </a:prstGeom>
        <a:solidFill>
          <a:schemeClr val="lt1"/>
        </a:solidFill>
        <a:ln w="19050" cmpd="sng">
          <a:solidFill>
            <a:srgbClr val="78DAD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200" baseline="0">
              <a:solidFill>
                <a:schemeClr val="tx1">
                  <a:lumMod val="95000"/>
                  <a:lumOff val="5000"/>
                </a:schemeClr>
              </a:solidFill>
              <a:latin typeface="Inter" panose="020B0502030000000004" pitchFamily="34" charset="0"/>
              <a:ea typeface="Inter" panose="020B0502030000000004" pitchFamily="34" charset="0"/>
            </a:rPr>
            <a:t>Tarea: Se pide determinar el </a:t>
          </a:r>
          <a:r>
            <a:rPr lang="es-PE" sz="1200" b="1" i="0" baseline="0">
              <a:solidFill>
                <a:srgbClr val="FF6060"/>
              </a:solidFill>
              <a:latin typeface="Inter" panose="020B0502030000000004" pitchFamily="34" charset="0"/>
              <a:ea typeface="Inter" panose="020B0502030000000004" pitchFamily="34" charset="0"/>
            </a:rPr>
            <a:t>valor vendido </a:t>
          </a:r>
          <a:r>
            <a:rPr lang="es-PE" sz="1200" b="1" i="0" baseline="0">
              <a:solidFill>
                <a:srgbClr val="FF6060"/>
              </a:solidFill>
              <a:latin typeface="Inter" panose="020B0502030000000004" pitchFamily="34" charset="0"/>
              <a:ea typeface="Inter" panose="020B0502030000000004" pitchFamily="34" charset="0"/>
              <a:cs typeface="+mn-cs"/>
            </a:rPr>
            <a:t>en</a:t>
          </a:r>
          <a:r>
            <a:rPr lang="es-PE" sz="1200" b="1" i="1" baseline="0">
              <a:solidFill>
                <a:schemeClr val="tx1">
                  <a:lumMod val="95000"/>
                  <a:lumOff val="5000"/>
                </a:schemeClr>
              </a:solidFill>
              <a:latin typeface="Inter" panose="020B0502030000000004" pitchFamily="34" charset="0"/>
              <a:ea typeface="Inter" panose="020B0502030000000004" pitchFamily="34" charset="0"/>
            </a:rPr>
            <a:t> </a:t>
          </a:r>
          <a:r>
            <a:rPr lang="es-PE" sz="1200" b="1" i="0" baseline="0">
              <a:solidFill>
                <a:srgbClr val="FF6060"/>
              </a:solidFill>
              <a:latin typeface="Inter" panose="020B0502030000000004" pitchFamily="34" charset="0"/>
              <a:ea typeface="Inter" panose="020B0502030000000004" pitchFamily="34" charset="0"/>
              <a:cs typeface="+mn-cs"/>
            </a:rPr>
            <a:t>soles</a:t>
          </a:r>
          <a:r>
            <a:rPr lang="es-PE" sz="1200" baseline="0">
              <a:solidFill>
                <a:schemeClr val="tx1">
                  <a:lumMod val="95000"/>
                  <a:lumOff val="5000"/>
                </a:schemeClr>
              </a:solidFill>
              <a:latin typeface="Inter" panose="020B0502030000000004" pitchFamily="34" charset="0"/>
              <a:ea typeface="Inter" panose="020B0502030000000004" pitchFamily="34" charset="0"/>
            </a:rPr>
            <a:t> de cada uno de los artículos de la empresa. </a:t>
          </a:r>
          <a:endParaRPr lang="es-PE" sz="1200" b="0" i="0">
            <a:solidFill>
              <a:schemeClr val="tx1">
                <a:lumMod val="95000"/>
                <a:lumOff val="5000"/>
              </a:schemeClr>
            </a:solidFill>
            <a:latin typeface="Inter" panose="020B0502030000000004" pitchFamily="34" charset="0"/>
            <a:ea typeface="Inter" panose="020B0502030000000004" pitchFamily="34" charset="0"/>
          </a:endParaRPr>
        </a:p>
      </xdr:txBody>
    </xdr:sp>
    <xdr:clientData/>
  </xdr:twoCellAnchor>
  <xdr:twoCellAnchor>
    <xdr:from>
      <xdr:col>7</xdr:col>
      <xdr:colOff>125832</xdr:colOff>
      <xdr:row>28</xdr:row>
      <xdr:rowOff>168275</xdr:rowOff>
    </xdr:from>
    <xdr:to>
      <xdr:col>10</xdr:col>
      <xdr:colOff>419100</xdr:colOff>
      <xdr:row>33</xdr:row>
      <xdr:rowOff>76201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828132" y="6188075"/>
          <a:ext cx="3315868" cy="923926"/>
        </a:xfrm>
        <a:prstGeom prst="rect">
          <a:avLst/>
        </a:prstGeom>
        <a:solidFill>
          <a:schemeClr val="lt1"/>
        </a:solidFill>
        <a:ln w="19050" cmpd="sng">
          <a:solidFill>
            <a:srgbClr val="78DAD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200" baseline="0">
              <a:latin typeface="Inter" panose="020B0502030000000004" pitchFamily="34" charset="0"/>
              <a:ea typeface="Inter" panose="020B0502030000000004" pitchFamily="34" charset="0"/>
            </a:rPr>
            <a:t>Tarea: Se pide determinar el </a:t>
          </a:r>
          <a:r>
            <a:rPr lang="es-PE" sz="1200" b="1" i="0" baseline="0">
              <a:solidFill>
                <a:srgbClr val="FF6060"/>
              </a:solidFill>
              <a:latin typeface="Inter" panose="020B0502030000000004" pitchFamily="34" charset="0"/>
              <a:ea typeface="Inter" panose="020B0502030000000004" pitchFamily="34" charset="0"/>
            </a:rPr>
            <a:t>valor total,</a:t>
          </a:r>
          <a:r>
            <a:rPr lang="es-PE" sz="1200" b="0" i="0" baseline="0">
              <a:solidFill>
                <a:srgbClr val="FF6060"/>
              </a:solidFill>
              <a:latin typeface="Inter" panose="020B0502030000000004" pitchFamily="34" charset="0"/>
              <a:ea typeface="Inter" panose="020B0502030000000004" pitchFamily="34" charset="0"/>
            </a:rPr>
            <a:t> </a:t>
          </a:r>
          <a:r>
            <a:rPr lang="es-PE" sz="1200" b="0" i="0" baseline="0">
              <a:latin typeface="Inter" panose="020B0502030000000004" pitchFamily="34" charset="0"/>
              <a:ea typeface="Inter" panose="020B0502030000000004" pitchFamily="34" charset="0"/>
            </a:rPr>
            <a:t>haciendo uso de las referencias relativas. Sabiendo que el total se halla restando ingresos menos gastos.</a:t>
          </a:r>
          <a:endParaRPr lang="es-PE" sz="1200" b="0" i="0">
            <a:solidFill>
              <a:srgbClr val="E84F13"/>
            </a:solidFill>
            <a:latin typeface="Inter" panose="020B0502030000000004" pitchFamily="34" charset="0"/>
            <a:ea typeface="Inter" panose="020B0502030000000004" pitchFamily="34" charset="0"/>
          </a:endParaRPr>
        </a:p>
      </xdr:txBody>
    </xdr:sp>
    <xdr:clientData/>
  </xdr:twoCellAnchor>
  <xdr:twoCellAnchor editAs="oneCell">
    <xdr:from>
      <xdr:col>12</xdr:col>
      <xdr:colOff>218281</xdr:colOff>
      <xdr:row>1</xdr:row>
      <xdr:rowOff>138906</xdr:rowOff>
    </xdr:from>
    <xdr:to>
      <xdr:col>16</xdr:col>
      <xdr:colOff>744039</xdr:colOff>
      <xdr:row>4</xdr:row>
      <xdr:rowOff>176780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449AF50-C993-B04B-B761-CDC189E93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5625" y="337344"/>
          <a:ext cx="4236539" cy="6331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314325</xdr:colOff>
      <xdr:row>0</xdr:row>
      <xdr:rowOff>142875</xdr:rowOff>
    </xdr:from>
    <xdr:to>
      <xdr:col>5</xdr:col>
      <xdr:colOff>1216937</xdr:colOff>
      <xdr:row>5</xdr:row>
      <xdr:rowOff>180975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238250" y="142875"/>
          <a:ext cx="4326437" cy="990600"/>
        </a:xfrm>
        <a:prstGeom prst="rect">
          <a:avLst/>
        </a:prstGeom>
      </xdr:spPr>
    </xdr:pic>
    <xdr:clientData/>
  </xdr:twoCellAnchor>
  <xdr:twoCellAnchor>
    <xdr:from>
      <xdr:col>6</xdr:col>
      <xdr:colOff>9524</xdr:colOff>
      <xdr:row>18</xdr:row>
      <xdr:rowOff>142875</xdr:rowOff>
    </xdr:from>
    <xdr:to>
      <xdr:col>8</xdr:col>
      <xdr:colOff>749300</xdr:colOff>
      <xdr:row>23</xdr:row>
      <xdr:rowOff>88900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1924" y="4168775"/>
          <a:ext cx="3597276" cy="898525"/>
        </a:xfrm>
        <a:prstGeom prst="rect">
          <a:avLst/>
        </a:prstGeom>
        <a:solidFill>
          <a:schemeClr val="lt1"/>
        </a:solidFill>
        <a:ln w="19050" cmpd="sng">
          <a:solidFill>
            <a:srgbClr val="78DAD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200" i="0" baseline="0">
              <a:solidFill>
                <a:schemeClr val="tx1"/>
              </a:solidFill>
              <a:latin typeface="Inter" panose="020B0502030000000004" pitchFamily="34" charset="0"/>
              <a:ea typeface="Inter" panose="020B0502030000000004" pitchFamily="34" charset="0"/>
              <a:cs typeface="+mn-cs"/>
            </a:rPr>
            <a:t>Tarea</a:t>
          </a:r>
          <a:r>
            <a:rPr lang="es-PE" sz="1200" i="0" baseline="0">
              <a:latin typeface="Inter" panose="020B0502030000000004" pitchFamily="34" charset="0"/>
              <a:ea typeface="Inter" panose="020B0502030000000004" pitchFamily="34" charset="0"/>
            </a:rPr>
            <a:t>: Se pide calcular la ganancia obtenida de los capitales invertidos. Para ello, se deberá </a:t>
          </a:r>
          <a:r>
            <a:rPr lang="es-PE" sz="1200" b="1" i="0" baseline="0">
              <a:latin typeface="Inter" panose="020B0502030000000004" pitchFamily="34" charset="0"/>
              <a:ea typeface="Inter" panose="020B0502030000000004" pitchFamily="34" charset="0"/>
            </a:rPr>
            <a:t>obtener el </a:t>
          </a:r>
          <a:r>
            <a:rPr lang="es-PE" sz="1200" b="1" i="0" baseline="0">
              <a:solidFill>
                <a:srgbClr val="FF6060"/>
              </a:solidFill>
              <a:latin typeface="Inter" panose="020B0502030000000004" pitchFamily="34" charset="0"/>
              <a:ea typeface="Inter" panose="020B0502030000000004" pitchFamily="34" charset="0"/>
            </a:rPr>
            <a:t>15%</a:t>
          </a:r>
          <a:r>
            <a:rPr lang="es-PE" sz="1200" b="1" i="0" baseline="0">
              <a:latin typeface="Inter" panose="020B0502030000000004" pitchFamily="34" charset="0"/>
              <a:ea typeface="Inter" panose="020B0502030000000004" pitchFamily="34" charset="0"/>
            </a:rPr>
            <a:t> de descuento </a:t>
          </a:r>
          <a:r>
            <a:rPr lang="es-PE" sz="1200" b="0" i="0" baseline="0">
              <a:latin typeface="Inter" panose="020B0502030000000004" pitchFamily="34" charset="0"/>
              <a:ea typeface="Inter" panose="020B0502030000000004" pitchFamily="34" charset="0"/>
            </a:rPr>
            <a:t>(ubicado en la celda H18).</a:t>
          </a:r>
          <a:endParaRPr lang="es-PE" sz="1200" b="0" i="0">
            <a:solidFill>
              <a:srgbClr val="E84F13"/>
            </a:solidFill>
            <a:latin typeface="Inter" panose="020B0502030000000004" pitchFamily="34" charset="0"/>
            <a:ea typeface="Inter" panose="020B0502030000000004" pitchFamily="34" charset="0"/>
          </a:endParaRPr>
        </a:p>
      </xdr:txBody>
    </xdr:sp>
    <xdr:clientData/>
  </xdr:twoCellAnchor>
  <xdr:twoCellAnchor>
    <xdr:from>
      <xdr:col>7</xdr:col>
      <xdr:colOff>21550</xdr:colOff>
      <xdr:row>32</xdr:row>
      <xdr:rowOff>95681</xdr:rowOff>
    </xdr:from>
    <xdr:to>
      <xdr:col>9</xdr:col>
      <xdr:colOff>417219</xdr:colOff>
      <xdr:row>35</xdr:row>
      <xdr:rowOff>35112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6083932" y="7189005"/>
          <a:ext cx="2883375" cy="611783"/>
        </a:xfrm>
        <a:prstGeom prst="rect">
          <a:avLst/>
        </a:prstGeom>
        <a:solidFill>
          <a:schemeClr val="lt1"/>
        </a:solidFill>
        <a:ln w="19050" cmpd="sng">
          <a:solidFill>
            <a:srgbClr val="78DAD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200" baseline="0">
              <a:solidFill>
                <a:schemeClr val="tx1"/>
              </a:solidFill>
              <a:latin typeface="Inter" panose="020B0502030000000004" pitchFamily="34" charset="0"/>
              <a:ea typeface="Inter" panose="020B0502030000000004" pitchFamily="34" charset="0"/>
            </a:rPr>
            <a:t>Tarea: Se pide convertir a moneda extranjera los siguientes valores.</a:t>
          </a:r>
          <a:endParaRPr lang="es-PE" sz="1200" b="0" i="0">
            <a:solidFill>
              <a:schemeClr val="tx1"/>
            </a:solidFill>
            <a:latin typeface="Inter" panose="020B0502030000000004" pitchFamily="34" charset="0"/>
            <a:ea typeface="Inter" panose="020B0502030000000004" pitchFamily="34" charset="0"/>
          </a:endParaRPr>
        </a:p>
      </xdr:txBody>
    </xdr:sp>
    <xdr:clientData/>
  </xdr:twoCellAnchor>
  <xdr:twoCellAnchor editAs="oneCell">
    <xdr:from>
      <xdr:col>12</xdr:col>
      <xdr:colOff>0</xdr:colOff>
      <xdr:row>2</xdr:row>
      <xdr:rowOff>166558</xdr:rowOff>
    </xdr:from>
    <xdr:to>
      <xdr:col>17</xdr:col>
      <xdr:colOff>124563</xdr:colOff>
      <xdr:row>6</xdr:row>
      <xdr:rowOff>26424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EAB7E4D-81FD-B641-882F-E15DB9BED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2787" y="541312"/>
          <a:ext cx="4246858" cy="609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390525</xdr:colOff>
      <xdr:row>0</xdr:row>
      <xdr:rowOff>142875</xdr:rowOff>
    </xdr:from>
    <xdr:to>
      <xdr:col>6</xdr:col>
      <xdr:colOff>1341102</xdr:colOff>
      <xdr:row>5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314450" y="142875"/>
          <a:ext cx="4326437" cy="99060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32</xdr:row>
      <xdr:rowOff>0</xdr:rowOff>
    </xdr:from>
    <xdr:to>
      <xdr:col>20</xdr:col>
      <xdr:colOff>114300</xdr:colOff>
      <xdr:row>36</xdr:row>
      <xdr:rowOff>28575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11144250" y="8620125"/>
          <a:ext cx="2628900" cy="904875"/>
        </a:xfrm>
        <a:prstGeom prst="rect">
          <a:avLst/>
        </a:prstGeom>
        <a:solidFill>
          <a:schemeClr val="lt1"/>
        </a:solidFill>
        <a:ln w="19050" cmpd="sng">
          <a:solidFill>
            <a:srgbClr val="78DAD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200" b="0" i="0" baseline="0">
              <a:solidFill>
                <a:schemeClr val="tx1"/>
              </a:solidFill>
              <a:latin typeface="Inter" panose="020B0502030000000004" pitchFamily="34" charset="0"/>
              <a:ea typeface="Inter" panose="020B0502030000000004" pitchFamily="34" charset="0"/>
            </a:rPr>
            <a:t>Tarea: Halla los valores de la </a:t>
          </a:r>
          <a:r>
            <a:rPr lang="es-PE" sz="1200" b="0" i="0" baseline="0">
              <a:solidFill>
                <a:srgbClr val="FF6060"/>
              </a:solidFill>
              <a:latin typeface="Inter" panose="020B0502030000000004" pitchFamily="34" charset="0"/>
              <a:ea typeface="Inter" panose="020B0502030000000004" pitchFamily="34" charset="0"/>
            </a:rPr>
            <a:t>tabla de multiplicar, </a:t>
          </a:r>
          <a:r>
            <a:rPr lang="es-PE" sz="1200" b="0" i="0" baseline="0">
              <a:solidFill>
                <a:schemeClr val="tx1"/>
              </a:solidFill>
              <a:latin typeface="Inter" panose="020B0502030000000004" pitchFamily="34" charset="0"/>
              <a:ea typeface="Inter" panose="020B0502030000000004" pitchFamily="34" charset="0"/>
            </a:rPr>
            <a:t>utilizando las referencias.</a:t>
          </a:r>
          <a:endParaRPr lang="es-PE" sz="1200" b="0" i="0">
            <a:solidFill>
              <a:schemeClr val="tx1"/>
            </a:solidFill>
            <a:latin typeface="Inter" panose="020B0502030000000004" pitchFamily="34" charset="0"/>
            <a:ea typeface="Inter" panose="020B0502030000000004" pitchFamily="34" charset="0"/>
          </a:endParaRPr>
        </a:p>
      </xdr:txBody>
    </xdr:sp>
    <xdr:clientData/>
  </xdr:twoCellAnchor>
  <xdr:twoCellAnchor>
    <xdr:from>
      <xdr:col>11</xdr:col>
      <xdr:colOff>72755</xdr:colOff>
      <xdr:row>19</xdr:row>
      <xdr:rowOff>22056</xdr:rowOff>
    </xdr:from>
    <xdr:to>
      <xdr:col>15</xdr:col>
      <xdr:colOff>393700</xdr:colOff>
      <xdr:row>21</xdr:row>
      <xdr:rowOff>152400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11464655" y="4416256"/>
          <a:ext cx="2911745" cy="727244"/>
        </a:xfrm>
        <a:prstGeom prst="rect">
          <a:avLst/>
        </a:prstGeom>
        <a:solidFill>
          <a:schemeClr val="lt1"/>
        </a:solidFill>
        <a:ln w="19050" cmpd="sng">
          <a:solidFill>
            <a:srgbClr val="78DAD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200" i="0" baseline="0">
              <a:solidFill>
                <a:schemeClr val="bg2">
                  <a:lumMod val="10000"/>
                </a:schemeClr>
              </a:solidFill>
              <a:latin typeface="Inter" panose="020B0502030000000004" pitchFamily="34" charset="0"/>
              <a:ea typeface="Inter" panose="020B0502030000000004" pitchFamily="34" charset="0"/>
            </a:rPr>
            <a:t>Tarea: Se pide calcular el </a:t>
          </a:r>
          <a:r>
            <a:rPr lang="es-PE" sz="1200" b="1" i="0" baseline="0">
              <a:solidFill>
                <a:srgbClr val="FF6060"/>
              </a:solidFill>
              <a:latin typeface="Inter" panose="020B0502030000000004" pitchFamily="34" charset="0"/>
              <a:ea typeface="Inter" panose="020B0502030000000004" pitchFamily="34" charset="0"/>
            </a:rPr>
            <a:t>monto en soles</a:t>
          </a:r>
          <a:r>
            <a:rPr lang="es-PE" sz="1200" i="0" baseline="0">
              <a:solidFill>
                <a:srgbClr val="FF6060"/>
              </a:solidFill>
              <a:latin typeface="Inter" panose="020B0502030000000004" pitchFamily="34" charset="0"/>
              <a:ea typeface="Inter" panose="020B0502030000000004" pitchFamily="34" charset="0"/>
            </a:rPr>
            <a:t> </a:t>
          </a:r>
          <a:r>
            <a:rPr lang="es-PE" sz="1200" i="0" baseline="0">
              <a:solidFill>
                <a:schemeClr val="bg2">
                  <a:lumMod val="10000"/>
                </a:schemeClr>
              </a:solidFill>
              <a:latin typeface="Inter" panose="020B0502030000000004" pitchFamily="34" charset="0"/>
              <a:ea typeface="Inter" panose="020B0502030000000004" pitchFamily="34" charset="0"/>
            </a:rPr>
            <a:t>de cada producto vendido mes a mes.</a:t>
          </a:r>
          <a:endParaRPr lang="es-PE" sz="1200" b="0" i="0">
            <a:solidFill>
              <a:schemeClr val="bg2">
                <a:lumMod val="10000"/>
              </a:schemeClr>
            </a:solidFill>
            <a:latin typeface="Inter" panose="020B0502030000000004" pitchFamily="34" charset="0"/>
            <a:ea typeface="Inter" panose="020B05020300000000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790572</xdr:colOff>
      <xdr:row>13</xdr:row>
      <xdr:rowOff>171451</xdr:rowOff>
    </xdr:from>
    <xdr:to>
      <xdr:col>6</xdr:col>
      <xdr:colOff>850900</xdr:colOff>
      <xdr:row>15</xdr:row>
      <xdr:rowOff>12701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717672" y="2914651"/>
          <a:ext cx="4187828" cy="234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Hoja.Nombre.De.La.Hoja!Nombre.De.La.Celda</a:t>
          </a:r>
        </a:p>
      </xdr:txBody>
    </xdr:sp>
    <xdr:clientData/>
  </xdr:twoCellAnchor>
  <xdr:twoCellAnchor editAs="absolute">
    <xdr:from>
      <xdr:col>2</xdr:col>
      <xdr:colOff>428625</xdr:colOff>
      <xdr:row>0</xdr:row>
      <xdr:rowOff>133350</xdr:rowOff>
    </xdr:from>
    <xdr:to>
      <xdr:col>6</xdr:col>
      <xdr:colOff>621212</xdr:colOff>
      <xdr:row>5</xdr:row>
      <xdr:rowOff>171450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352550" y="133350"/>
          <a:ext cx="4326437" cy="990600"/>
        </a:xfrm>
        <a:prstGeom prst="rect">
          <a:avLst/>
        </a:prstGeom>
      </xdr:spPr>
    </xdr:pic>
    <xdr:clientData/>
  </xdr:twoCellAnchor>
  <xdr:twoCellAnchor editAs="oneCell">
    <xdr:from>
      <xdr:col>13</xdr:col>
      <xdr:colOff>377031</xdr:colOff>
      <xdr:row>2</xdr:row>
      <xdr:rowOff>19844</xdr:rowOff>
    </xdr:from>
    <xdr:to>
      <xdr:col>17</xdr:col>
      <xdr:colOff>813889</xdr:colOff>
      <xdr:row>5</xdr:row>
      <xdr:rowOff>33905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1A6F4A6-0C2E-C140-960A-065A7EC68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4844" y="416719"/>
          <a:ext cx="4246858" cy="609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409575</xdr:colOff>
      <xdr:row>0</xdr:row>
      <xdr:rowOff>133350</xdr:rowOff>
    </xdr:from>
    <xdr:to>
      <xdr:col>5</xdr:col>
      <xdr:colOff>249737</xdr:colOff>
      <xdr:row>5</xdr:row>
      <xdr:rowOff>171450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333500" y="133350"/>
          <a:ext cx="4326437" cy="990600"/>
        </a:xfrm>
        <a:prstGeom prst="rect">
          <a:avLst/>
        </a:prstGeom>
      </xdr:spPr>
    </xdr:pic>
    <xdr:clientData/>
  </xdr:twoCellAnchor>
  <xdr:twoCellAnchor>
    <xdr:from>
      <xdr:col>2</xdr:col>
      <xdr:colOff>762000</xdr:colOff>
      <xdr:row>13</xdr:row>
      <xdr:rowOff>161925</xdr:rowOff>
    </xdr:from>
    <xdr:to>
      <xdr:col>5</xdr:col>
      <xdr:colOff>409577</xdr:colOff>
      <xdr:row>15</xdr:row>
      <xdr:rowOff>38100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1685925" y="2924175"/>
          <a:ext cx="4133852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Hoja.Nombre.De.La.Hoja!Nombre.De.La.Celda</a:t>
          </a:r>
        </a:p>
      </xdr:txBody>
    </xdr:sp>
    <xdr:clientData/>
  </xdr:twoCellAnchor>
  <xdr:twoCellAnchor>
    <xdr:from>
      <xdr:col>5</xdr:col>
      <xdr:colOff>637020</xdr:colOff>
      <xdr:row>17</xdr:row>
      <xdr:rowOff>147783</xdr:rowOff>
    </xdr:from>
    <xdr:to>
      <xdr:col>6</xdr:col>
      <xdr:colOff>1778000</xdr:colOff>
      <xdr:row>20</xdr:row>
      <xdr:rowOff>88901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6034520" y="3665683"/>
          <a:ext cx="3084080" cy="550718"/>
        </a:xfrm>
        <a:prstGeom prst="rect">
          <a:avLst/>
        </a:prstGeom>
        <a:solidFill>
          <a:schemeClr val="lt1"/>
        </a:solidFill>
        <a:ln w="19050" cmpd="sng">
          <a:solidFill>
            <a:srgbClr val="78DAD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200" i="0" baseline="0">
              <a:solidFill>
                <a:schemeClr val="tx1"/>
              </a:solidFill>
              <a:latin typeface="Inter" panose="020B0502030000000004" pitchFamily="34" charset="0"/>
              <a:ea typeface="Inter" panose="020B0502030000000004" pitchFamily="34" charset="0"/>
            </a:rPr>
            <a:t>Tarea: Se pide calcular  </a:t>
          </a:r>
          <a:r>
            <a:rPr lang="es-PE" sz="1200" b="1" i="0" baseline="0">
              <a:solidFill>
                <a:schemeClr val="tx1"/>
              </a:solidFill>
              <a:latin typeface="Inter" panose="020B0502030000000004" pitchFamily="34" charset="0"/>
              <a:ea typeface="Inter" panose="020B0502030000000004" pitchFamily="34" charset="0"/>
            </a:rPr>
            <a:t>la </a:t>
          </a:r>
          <a:r>
            <a:rPr lang="es-PE" sz="1200" b="1" i="0" baseline="0">
              <a:solidFill>
                <a:srgbClr val="FF6060"/>
              </a:solidFill>
              <a:latin typeface="Inter" panose="020B0502030000000004" pitchFamily="34" charset="0"/>
              <a:ea typeface="Inter" panose="020B0502030000000004" pitchFamily="34" charset="0"/>
            </a:rPr>
            <a:t>producción total </a:t>
          </a:r>
          <a:r>
            <a:rPr lang="es-PE" sz="1200" b="1" i="0" baseline="0">
              <a:solidFill>
                <a:schemeClr val="tx1"/>
              </a:solidFill>
              <a:latin typeface="Inter" panose="020B0502030000000004" pitchFamily="34" charset="0"/>
              <a:ea typeface="Inter" panose="020B0502030000000004" pitchFamily="34" charset="0"/>
            </a:rPr>
            <a:t>de jabón </a:t>
          </a:r>
          <a:r>
            <a:rPr lang="es-PE" sz="1200" b="0" i="0" baseline="0">
              <a:solidFill>
                <a:schemeClr val="tx1"/>
              </a:solidFill>
              <a:latin typeface="Inter" panose="020B0502030000000004" pitchFamily="34" charset="0"/>
              <a:ea typeface="Inter" panose="020B0502030000000004" pitchFamily="34" charset="0"/>
            </a:rPr>
            <a:t>en el año 2017.</a:t>
          </a:r>
          <a:endParaRPr lang="es-PE" sz="1200" b="0" i="0">
            <a:solidFill>
              <a:schemeClr val="tx1"/>
            </a:solidFill>
            <a:latin typeface="Inter" panose="020B0502030000000004" pitchFamily="34" charset="0"/>
            <a:ea typeface="Inter" panose="020B0502030000000004" pitchFamily="34" charset="0"/>
          </a:endParaRPr>
        </a:p>
      </xdr:txBody>
    </xdr:sp>
    <xdr:clientData/>
  </xdr:twoCellAnchor>
  <xdr:twoCellAnchor editAs="oneCell">
    <xdr:from>
      <xdr:col>12</xdr:col>
      <xdr:colOff>204838</xdr:colOff>
      <xdr:row>2</xdr:row>
      <xdr:rowOff>-1</xdr:rowOff>
    </xdr:from>
    <xdr:to>
      <xdr:col>18</xdr:col>
      <xdr:colOff>4033</xdr:colOff>
      <xdr:row>5</xdr:row>
      <xdr:rowOff>56309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BB1D219-317E-9643-A4B7-28DCB92DE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8870" y="368709"/>
          <a:ext cx="4246858" cy="609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9:R42"/>
  <sheetViews>
    <sheetView showGridLines="0" topLeftCell="A37" zoomScaleNormal="100" workbookViewId="0">
      <selection activeCell="I27" sqref="I27"/>
    </sheetView>
  </sheetViews>
  <sheetFormatPr baseColWidth="10" defaultRowHeight="15"/>
  <cols>
    <col min="1" max="1" width="8.7109375" style="12" customWidth="1"/>
    <col min="2" max="2" width="3.42578125" customWidth="1"/>
    <col min="3" max="3" width="11" customWidth="1"/>
    <col min="4" max="4" width="12.28515625" customWidth="1"/>
    <col min="5" max="5" width="13" customWidth="1"/>
    <col min="6" max="6" width="12.85546875" bestFit="1" customWidth="1"/>
    <col min="7" max="7" width="13.42578125" customWidth="1"/>
    <col min="8" max="8" width="15" customWidth="1"/>
    <col min="9" max="9" width="13.42578125" customWidth="1"/>
    <col min="10" max="10" width="11.140625" customWidth="1"/>
    <col min="11" max="11" width="11" customWidth="1"/>
    <col min="12" max="12" width="12.42578125" bestFit="1" customWidth="1"/>
    <col min="13" max="15" width="11.42578125" bestFit="1" customWidth="1"/>
    <col min="16" max="16" width="14.28515625" bestFit="1" customWidth="1"/>
  </cols>
  <sheetData>
    <row r="9" spans="3:18" ht="36.75" customHeight="1" thickBot="1">
      <c r="C9" s="13" t="s">
        <v>5</v>
      </c>
      <c r="D9" s="14"/>
      <c r="E9" s="14"/>
      <c r="F9" s="14"/>
      <c r="G9" s="14"/>
      <c r="H9" s="14"/>
      <c r="I9" s="14"/>
      <c r="J9" s="14"/>
      <c r="K9" s="13"/>
      <c r="L9" s="14"/>
      <c r="M9" s="14"/>
      <c r="N9" s="14"/>
      <c r="O9" s="14"/>
      <c r="P9" s="14"/>
      <c r="Q9" s="14"/>
      <c r="R9" s="14"/>
    </row>
    <row r="10" spans="3:18" ht="15.75" thickTop="1">
      <c r="C10" s="1"/>
    </row>
    <row r="11" spans="3:18" ht="20.25">
      <c r="C11" s="15"/>
      <c r="D11" s="15"/>
      <c r="E11" s="15"/>
      <c r="F11" s="15"/>
      <c r="G11" s="15"/>
      <c r="H11" s="30" t="s">
        <v>6</v>
      </c>
      <c r="I11" s="15"/>
      <c r="J11" s="15"/>
      <c r="K11" s="15"/>
      <c r="L11" s="15"/>
      <c r="M11" s="15"/>
      <c r="N11" s="15"/>
    </row>
    <row r="12" spans="3:18" ht="7.5" customHeight="1"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3:18" ht="15.75">
      <c r="C13" s="29" t="s">
        <v>0</v>
      </c>
      <c r="D13" s="31" t="s">
        <v>71</v>
      </c>
      <c r="E13" s="32"/>
      <c r="F13" s="32"/>
      <c r="G13" s="32"/>
      <c r="H13" s="32"/>
      <c r="I13" s="32"/>
      <c r="J13" s="32"/>
      <c r="K13" s="32"/>
      <c r="L13" s="32"/>
      <c r="M13" s="32"/>
      <c r="N13" s="15"/>
    </row>
    <row r="14" spans="3:18" ht="15.75">
      <c r="C14" s="16"/>
      <c r="D14" s="31" t="s">
        <v>7</v>
      </c>
      <c r="E14" s="32"/>
      <c r="F14" s="32"/>
      <c r="G14" s="32"/>
      <c r="H14" s="32"/>
      <c r="I14" s="32"/>
      <c r="J14" s="32"/>
      <c r="K14" s="32"/>
      <c r="L14" s="32"/>
      <c r="M14" s="32"/>
      <c r="N14" s="15"/>
    </row>
    <row r="15" spans="3:18"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3:18" ht="15.75">
      <c r="C16" s="29" t="s">
        <v>2</v>
      </c>
      <c r="D16" s="15"/>
      <c r="E16" s="15"/>
      <c r="F16" s="15"/>
      <c r="G16" s="15"/>
      <c r="H16" s="16"/>
      <c r="I16" s="15"/>
      <c r="J16" s="15"/>
      <c r="K16" s="15"/>
      <c r="L16" s="15"/>
      <c r="M16" s="16"/>
      <c r="N16" s="15"/>
      <c r="P16" s="3"/>
    </row>
    <row r="17" spans="3:16"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3:16" ht="37.5" customHeight="1">
      <c r="C18" s="15"/>
      <c r="D18" s="24" t="s">
        <v>4</v>
      </c>
      <c r="E18" s="24" t="s">
        <v>16</v>
      </c>
      <c r="F18" s="24" t="s">
        <v>8</v>
      </c>
      <c r="G18" s="24" t="s">
        <v>15</v>
      </c>
      <c r="H18" s="24" t="s">
        <v>9</v>
      </c>
      <c r="I18" s="15"/>
      <c r="J18" s="15"/>
      <c r="K18" s="15"/>
      <c r="L18" s="15"/>
      <c r="M18" s="15"/>
      <c r="N18" s="15"/>
    </row>
    <row r="19" spans="3:16">
      <c r="C19" s="15"/>
      <c r="D19" s="28" t="s">
        <v>10</v>
      </c>
      <c r="E19" s="26" t="s">
        <v>17</v>
      </c>
      <c r="F19" s="26">
        <v>10</v>
      </c>
      <c r="G19" s="26">
        <v>150</v>
      </c>
      <c r="H19" s="52">
        <f>F19*G19</f>
        <v>1500</v>
      </c>
      <c r="I19" s="21"/>
      <c r="J19" s="15"/>
      <c r="K19" s="15"/>
      <c r="L19" s="15"/>
      <c r="M19" s="15"/>
      <c r="N19" s="15"/>
    </row>
    <row r="20" spans="3:16" ht="28.5">
      <c r="C20" s="15"/>
      <c r="D20" s="28" t="s">
        <v>11</v>
      </c>
      <c r="E20" s="26" t="s">
        <v>18</v>
      </c>
      <c r="F20" s="26">
        <v>12</v>
      </c>
      <c r="G20" s="26">
        <v>120</v>
      </c>
      <c r="H20" s="52">
        <f t="shared" ref="H20:H23" si="0">F20*G20</f>
        <v>1440</v>
      </c>
      <c r="I20" s="21"/>
      <c r="J20" s="15"/>
      <c r="K20" s="15"/>
      <c r="L20" s="15"/>
      <c r="M20" s="15"/>
      <c r="N20" s="15"/>
    </row>
    <row r="21" spans="3:16">
      <c r="C21" s="15"/>
      <c r="D21" s="28" t="s">
        <v>12</v>
      </c>
      <c r="E21" s="26" t="s">
        <v>19</v>
      </c>
      <c r="F21" s="26">
        <v>15</v>
      </c>
      <c r="G21" s="26">
        <v>40</v>
      </c>
      <c r="H21" s="52">
        <f t="shared" si="0"/>
        <v>600</v>
      </c>
      <c r="I21" s="21"/>
      <c r="J21" s="15"/>
      <c r="K21" s="15"/>
      <c r="L21" s="15"/>
      <c r="M21" s="15"/>
      <c r="N21" s="15"/>
    </row>
    <row r="22" spans="3:16">
      <c r="C22" s="15"/>
      <c r="D22" s="28" t="s">
        <v>13</v>
      </c>
      <c r="E22" s="26" t="s">
        <v>20</v>
      </c>
      <c r="F22" s="26">
        <v>14</v>
      </c>
      <c r="G22" s="26">
        <v>80</v>
      </c>
      <c r="H22" s="52">
        <f t="shared" si="0"/>
        <v>1120</v>
      </c>
      <c r="I22" s="21"/>
      <c r="J22" s="15"/>
      <c r="K22" s="15"/>
      <c r="L22" s="15"/>
      <c r="M22" s="15"/>
      <c r="N22" s="15"/>
    </row>
    <row r="23" spans="3:16">
      <c r="C23" s="15"/>
      <c r="D23" s="28" t="s">
        <v>14</v>
      </c>
      <c r="E23" s="26" t="s">
        <v>21</v>
      </c>
      <c r="F23" s="26">
        <v>9</v>
      </c>
      <c r="G23" s="26">
        <v>97</v>
      </c>
      <c r="H23" s="52">
        <f t="shared" si="0"/>
        <v>873</v>
      </c>
      <c r="I23" s="21"/>
      <c r="J23" s="15"/>
      <c r="K23" s="15"/>
      <c r="L23" s="15"/>
      <c r="M23" s="15"/>
      <c r="N23" s="15"/>
    </row>
    <row r="24" spans="3:16">
      <c r="C24" s="15"/>
      <c r="D24" s="18"/>
      <c r="E24" s="18"/>
      <c r="F24" s="19"/>
      <c r="G24" s="18"/>
      <c r="H24" s="51"/>
      <c r="I24" s="21"/>
      <c r="J24" s="15"/>
      <c r="K24" s="15"/>
      <c r="L24" s="15"/>
      <c r="M24" s="15"/>
      <c r="N24" s="15"/>
    </row>
    <row r="25" spans="3:16">
      <c r="C25" s="15"/>
      <c r="D25" s="18"/>
      <c r="E25" s="18"/>
      <c r="F25" s="19"/>
      <c r="G25" s="18"/>
      <c r="H25" s="20"/>
      <c r="I25" s="21"/>
      <c r="J25" s="15"/>
      <c r="K25" s="15"/>
      <c r="L25" s="15"/>
      <c r="M25" s="15"/>
      <c r="N25" s="15"/>
    </row>
    <row r="26" spans="3:16">
      <c r="C26" s="15"/>
      <c r="D26" s="18"/>
      <c r="E26" s="18"/>
      <c r="F26" s="19"/>
      <c r="G26" s="18"/>
      <c r="H26" s="20"/>
      <c r="I26" s="21"/>
      <c r="J26" s="15"/>
      <c r="K26" s="15"/>
      <c r="L26" s="15"/>
      <c r="M26" s="15"/>
      <c r="N26" s="15"/>
    </row>
    <row r="27" spans="3:16"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3:16" ht="15.75">
      <c r="C28" s="29" t="s">
        <v>3</v>
      </c>
      <c r="D28" s="15"/>
      <c r="E28" s="15"/>
      <c r="F28" s="15"/>
      <c r="G28" s="15"/>
      <c r="H28" s="16"/>
      <c r="I28" s="15"/>
      <c r="J28" s="15"/>
      <c r="K28" s="15"/>
      <c r="L28" s="15"/>
      <c r="M28" s="16"/>
      <c r="N28" s="15"/>
      <c r="P28" s="3"/>
    </row>
    <row r="29" spans="3:16"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3:16" ht="17.25" customHeight="1">
      <c r="C30" s="15"/>
      <c r="D30" s="23" t="s">
        <v>23</v>
      </c>
      <c r="E30" s="23" t="s">
        <v>24</v>
      </c>
      <c r="F30" s="23" t="s">
        <v>25</v>
      </c>
      <c r="G30" s="24" t="s">
        <v>9</v>
      </c>
      <c r="H30" s="22"/>
      <c r="I30" s="15"/>
      <c r="J30" s="15"/>
      <c r="K30" s="15"/>
      <c r="L30" s="15"/>
      <c r="M30" s="15"/>
      <c r="N30" s="15"/>
    </row>
    <row r="31" spans="3:16">
      <c r="C31" s="15"/>
      <c r="D31" s="28" t="s">
        <v>26</v>
      </c>
      <c r="E31" s="27">
        <v>1923.24</v>
      </c>
      <c r="F31" s="27">
        <v>450</v>
      </c>
      <c r="G31" s="27">
        <f>E31-F31</f>
        <v>1473.24</v>
      </c>
      <c r="H31" s="20"/>
      <c r="I31" s="21"/>
      <c r="J31" s="15"/>
      <c r="K31" s="15"/>
      <c r="L31" s="15"/>
      <c r="M31" s="15"/>
      <c r="N31" s="15"/>
    </row>
    <row r="32" spans="3:16">
      <c r="C32" s="15"/>
      <c r="D32" s="28" t="s">
        <v>27</v>
      </c>
      <c r="E32" s="27">
        <v>1240</v>
      </c>
      <c r="F32" s="27">
        <v>751.27</v>
      </c>
      <c r="G32" s="27">
        <f t="shared" ref="G32:G42" si="1">E32-F32</f>
        <v>488.73</v>
      </c>
      <c r="H32" s="20"/>
      <c r="I32" s="21"/>
      <c r="J32" s="15"/>
      <c r="K32" s="15"/>
      <c r="L32" s="15"/>
      <c r="M32" s="15"/>
      <c r="N32" s="15"/>
    </row>
    <row r="33" spans="3:14">
      <c r="C33" s="15"/>
      <c r="D33" s="28" t="s">
        <v>28</v>
      </c>
      <c r="E33" s="27">
        <v>1100</v>
      </c>
      <c r="F33" s="27">
        <v>375.63</v>
      </c>
      <c r="G33" s="27">
        <f t="shared" si="1"/>
        <v>724.37</v>
      </c>
      <c r="H33" s="20"/>
      <c r="I33" s="21"/>
      <c r="J33" s="15"/>
      <c r="K33" s="15"/>
      <c r="L33" s="15"/>
      <c r="M33" s="15"/>
      <c r="N33" s="15"/>
    </row>
    <row r="34" spans="3:14">
      <c r="C34" s="15"/>
      <c r="D34" s="28" t="s">
        <v>29</v>
      </c>
      <c r="E34" s="27">
        <v>601.01</v>
      </c>
      <c r="F34" s="27">
        <v>185</v>
      </c>
      <c r="G34" s="27">
        <f t="shared" si="1"/>
        <v>416.01</v>
      </c>
      <c r="H34" s="20"/>
      <c r="I34" s="21"/>
      <c r="J34" s="15"/>
      <c r="K34" s="15"/>
      <c r="L34" s="15"/>
      <c r="M34" s="15"/>
      <c r="N34" s="15"/>
    </row>
    <row r="35" spans="3:14">
      <c r="C35" s="15"/>
      <c r="D35" s="28" t="s">
        <v>30</v>
      </c>
      <c r="E35" s="27">
        <v>350</v>
      </c>
      <c r="F35" s="27">
        <v>48.08</v>
      </c>
      <c r="G35" s="27">
        <f t="shared" si="1"/>
        <v>301.92</v>
      </c>
      <c r="H35" s="20"/>
      <c r="I35" s="21"/>
      <c r="J35" s="15"/>
      <c r="K35" s="15"/>
      <c r="L35" s="15"/>
      <c r="M35" s="15"/>
      <c r="N35" s="15"/>
    </row>
    <row r="36" spans="3:14">
      <c r="C36" s="15"/>
      <c r="D36" s="28" t="s">
        <v>31</v>
      </c>
      <c r="E36" s="27">
        <v>115</v>
      </c>
      <c r="F36" s="27">
        <v>33.659999999999997</v>
      </c>
      <c r="G36" s="27">
        <f t="shared" si="1"/>
        <v>81.34</v>
      </c>
      <c r="H36" s="15"/>
      <c r="I36" s="15"/>
      <c r="J36" s="15"/>
      <c r="K36" s="15"/>
      <c r="L36" s="15"/>
      <c r="M36" s="15"/>
      <c r="N36" s="15"/>
    </row>
    <row r="37" spans="3:14">
      <c r="C37" s="15"/>
      <c r="D37" s="28" t="s">
        <v>32</v>
      </c>
      <c r="E37" s="27">
        <v>1202.02</v>
      </c>
      <c r="F37" s="27">
        <v>260</v>
      </c>
      <c r="G37" s="27">
        <f t="shared" si="1"/>
        <v>942.02</v>
      </c>
      <c r="H37" s="15"/>
      <c r="I37" s="15"/>
      <c r="J37" s="15"/>
      <c r="K37" s="15"/>
      <c r="L37" s="15"/>
      <c r="M37" s="15"/>
      <c r="N37" s="15"/>
    </row>
    <row r="38" spans="3:14">
      <c r="C38" s="15"/>
      <c r="D38" s="28" t="s">
        <v>33</v>
      </c>
      <c r="E38" s="27">
        <v>900</v>
      </c>
      <c r="F38" s="27">
        <v>390.66</v>
      </c>
      <c r="G38" s="27">
        <f t="shared" si="1"/>
        <v>509.34</v>
      </c>
      <c r="H38" s="15"/>
      <c r="I38" s="15"/>
      <c r="J38" s="15"/>
      <c r="K38" s="15"/>
      <c r="L38" s="15"/>
      <c r="M38" s="15"/>
      <c r="N38" s="15"/>
    </row>
    <row r="39" spans="3:14" ht="17.25" customHeight="1">
      <c r="C39" s="15"/>
      <c r="D39" s="28" t="s">
        <v>34</v>
      </c>
      <c r="E39" s="27">
        <v>250</v>
      </c>
      <c r="F39" s="27">
        <v>90.15</v>
      </c>
      <c r="G39" s="27">
        <f t="shared" si="1"/>
        <v>159.85</v>
      </c>
      <c r="H39" s="15"/>
      <c r="I39" s="15"/>
      <c r="J39" s="15"/>
      <c r="K39" s="15"/>
      <c r="L39" s="15"/>
      <c r="M39" s="15"/>
      <c r="N39" s="15"/>
    </row>
    <row r="40" spans="3:14" ht="17.25" customHeight="1">
      <c r="C40" s="15"/>
      <c r="D40" s="28" t="s">
        <v>35</v>
      </c>
      <c r="E40" s="27">
        <v>2850</v>
      </c>
      <c r="F40" s="27">
        <v>1442.43</v>
      </c>
      <c r="G40" s="27">
        <f t="shared" si="1"/>
        <v>1407.57</v>
      </c>
      <c r="H40" s="15"/>
      <c r="I40" s="15"/>
      <c r="J40" s="15"/>
      <c r="K40" s="15"/>
      <c r="L40" s="15"/>
      <c r="M40" s="15"/>
      <c r="N40" s="15"/>
    </row>
    <row r="41" spans="3:14" ht="17.25" customHeight="1">
      <c r="C41" s="15"/>
      <c r="D41" s="28" t="s">
        <v>36</v>
      </c>
      <c r="E41" s="27">
        <v>1202.02</v>
      </c>
      <c r="F41" s="27">
        <v>670</v>
      </c>
      <c r="G41" s="27">
        <f t="shared" si="1"/>
        <v>532.02</v>
      </c>
      <c r="H41" s="15"/>
      <c r="I41" s="15"/>
      <c r="J41" s="15"/>
      <c r="K41" s="15"/>
      <c r="L41" s="15"/>
      <c r="M41" s="15"/>
      <c r="N41" s="15"/>
    </row>
    <row r="42" spans="3:14" ht="17.25" customHeight="1">
      <c r="C42" s="15"/>
      <c r="D42" s="28" t="s">
        <v>37</v>
      </c>
      <c r="E42" s="27">
        <v>570</v>
      </c>
      <c r="F42" s="27">
        <v>155.06</v>
      </c>
      <c r="G42" s="27">
        <f t="shared" si="1"/>
        <v>414.94</v>
      </c>
      <c r="H42" s="15"/>
      <c r="I42" s="15"/>
      <c r="J42" s="15"/>
      <c r="K42" s="15"/>
      <c r="L42" s="15"/>
      <c r="M42" s="15"/>
      <c r="N42" s="15"/>
    </row>
  </sheetData>
  <conditionalFormatting sqref="D9 L9">
    <cfRule type="duplicateValues" dxfId="29" priority="2"/>
    <cfRule type="duplicateValues" dxfId="28" priority="3"/>
    <cfRule type="duplicateValues" dxfId="27" priority="4"/>
    <cfRule type="duplicateValues" dxfId="26" priority="5"/>
    <cfRule type="duplicateValues" dxfId="25" priority="6"/>
  </conditionalFormatting>
  <conditionalFormatting sqref="D9 L9">
    <cfRule type="duplicateValues" dxfId="24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8:R39"/>
  <sheetViews>
    <sheetView showGridLines="0" tabSelected="1" topLeftCell="A31" zoomScale="85" zoomScaleNormal="85" workbookViewId="0">
      <selection activeCell="E20" sqref="E20"/>
    </sheetView>
  </sheetViews>
  <sheetFormatPr baseColWidth="10" defaultRowHeight="15"/>
  <cols>
    <col min="1" max="1" width="8.7109375" style="12" customWidth="1"/>
    <col min="2" max="2" width="3.42578125" customWidth="1"/>
    <col min="4" max="4" width="17.140625" customWidth="1"/>
    <col min="5" max="5" width="15" customWidth="1"/>
    <col min="6" max="6" width="18.28515625" customWidth="1"/>
    <col min="7" max="7" width="17" customWidth="1"/>
    <col min="8" max="8" width="20.42578125" customWidth="1"/>
    <col min="9" max="9" width="16.85546875" bestFit="1" customWidth="1"/>
    <col min="10" max="10" width="15.42578125" customWidth="1"/>
    <col min="12" max="12" width="18" bestFit="1" customWidth="1"/>
    <col min="13" max="13" width="11.85546875" bestFit="1" customWidth="1"/>
    <col min="14" max="14" width="9.7109375" bestFit="1" customWidth="1"/>
  </cols>
  <sheetData>
    <row r="8" spans="3:18">
      <c r="K8" s="5"/>
    </row>
    <row r="9" spans="3:18" ht="36.75" customHeight="1" thickBot="1">
      <c r="C9" s="13" t="s">
        <v>5</v>
      </c>
      <c r="D9" s="14"/>
      <c r="E9" s="14"/>
      <c r="F9" s="14"/>
      <c r="G9" s="14"/>
      <c r="H9" s="14"/>
      <c r="I9" s="14"/>
      <c r="J9" s="14"/>
      <c r="K9" s="13"/>
      <c r="L9" s="14"/>
      <c r="M9" s="14"/>
      <c r="N9" s="14"/>
      <c r="O9" s="14"/>
      <c r="P9" s="14"/>
      <c r="Q9" s="14"/>
      <c r="R9" s="14"/>
    </row>
    <row r="10" spans="3:18" ht="15.75" thickTop="1">
      <c r="C10" s="1"/>
    </row>
    <row r="11" spans="3:18" ht="20.25">
      <c r="G11" s="30" t="s">
        <v>38</v>
      </c>
    </row>
    <row r="12" spans="3:18" ht="7.5" customHeight="1"/>
    <row r="13" spans="3:18" ht="15.75">
      <c r="C13" s="29" t="s">
        <v>0</v>
      </c>
      <c r="D13" s="17" t="s">
        <v>72</v>
      </c>
    </row>
    <row r="14" spans="3:18" ht="15.75">
      <c r="D14" s="17" t="s">
        <v>73</v>
      </c>
    </row>
    <row r="16" spans="3:18" ht="12.75" customHeight="1">
      <c r="C16" s="29" t="s">
        <v>2</v>
      </c>
      <c r="H16" s="3"/>
      <c r="M16" s="3"/>
    </row>
    <row r="17" spans="4:11" ht="23.25" customHeight="1"/>
    <row r="18" spans="4:11" ht="58.5" customHeight="1">
      <c r="D18" s="23" t="s">
        <v>39</v>
      </c>
      <c r="E18" s="23" t="s">
        <v>40</v>
      </c>
      <c r="G18" s="35" t="s">
        <v>41</v>
      </c>
      <c r="H18" s="36">
        <v>0.15</v>
      </c>
      <c r="J18" s="6"/>
      <c r="K18" s="6"/>
    </row>
    <row r="19" spans="4:11">
      <c r="D19" s="33">
        <v>1800</v>
      </c>
      <c r="E19" s="11">
        <f>D19*$H$18</f>
        <v>270</v>
      </c>
    </row>
    <row r="20" spans="4:11">
      <c r="D20" s="33">
        <v>8900</v>
      </c>
      <c r="E20" s="11">
        <f t="shared" ref="E20:E23" si="0">D20*$H$18</f>
        <v>1335</v>
      </c>
    </row>
    <row r="21" spans="4:11">
      <c r="D21" s="33">
        <v>7500</v>
      </c>
      <c r="E21" s="11">
        <f t="shared" si="0"/>
        <v>1125</v>
      </c>
    </row>
    <row r="22" spans="4:11">
      <c r="D22" s="33">
        <v>6400</v>
      </c>
      <c r="E22" s="11">
        <f t="shared" si="0"/>
        <v>960</v>
      </c>
    </row>
    <row r="23" spans="4:11">
      <c r="D23" s="33">
        <v>9100</v>
      </c>
      <c r="E23" s="11">
        <f t="shared" si="0"/>
        <v>1365</v>
      </c>
    </row>
    <row r="24" spans="4:11" ht="17.25">
      <c r="D24" s="10"/>
      <c r="E24" s="11"/>
    </row>
    <row r="25" spans="4:11" ht="17.25">
      <c r="D25" s="10"/>
      <c r="E25" s="11"/>
    </row>
    <row r="28" spans="4:11" ht="15.75">
      <c r="D28" s="48" t="s">
        <v>22</v>
      </c>
      <c r="E28" s="48"/>
    </row>
    <row r="29" spans="4:11">
      <c r="D29" s="34" t="s">
        <v>42</v>
      </c>
      <c r="E29" s="33">
        <v>3.3</v>
      </c>
    </row>
    <row r="30" spans="4:11">
      <c r="D30" s="34" t="s">
        <v>43</v>
      </c>
      <c r="E30" s="33">
        <v>3.87</v>
      </c>
    </row>
    <row r="32" spans="4:11" ht="15.75">
      <c r="D32" s="23" t="s">
        <v>44</v>
      </c>
      <c r="E32" s="23" t="s">
        <v>42</v>
      </c>
      <c r="F32" s="23" t="s">
        <v>43</v>
      </c>
    </row>
    <row r="33" spans="4:6" ht="17.25">
      <c r="D33" s="33">
        <v>603</v>
      </c>
      <c r="E33" s="53">
        <f>D33/$E$29</f>
        <v>182.72727272727275</v>
      </c>
      <c r="F33" s="54">
        <f>D33/$E$30</f>
        <v>155.81395348837208</v>
      </c>
    </row>
    <row r="34" spans="4:6" ht="17.25">
      <c r="D34" s="33">
        <v>520</v>
      </c>
      <c r="E34" s="53">
        <f t="shared" ref="E34:E38" si="1">D34/$E$29</f>
        <v>157.57575757575759</v>
      </c>
      <c r="F34" s="54">
        <f t="shared" ref="F34:F39" si="2">D34/$E$30</f>
        <v>134.36692506459949</v>
      </c>
    </row>
    <row r="35" spans="4:6" ht="17.25">
      <c r="D35" s="33">
        <v>1372</v>
      </c>
      <c r="E35" s="53">
        <f t="shared" si="1"/>
        <v>415.75757575757581</v>
      </c>
      <c r="F35" s="54">
        <f t="shared" si="2"/>
        <v>354.5219638242894</v>
      </c>
    </row>
    <row r="36" spans="4:6" ht="17.25">
      <c r="D36" s="33">
        <v>1009</v>
      </c>
      <c r="E36" s="53">
        <f t="shared" si="1"/>
        <v>305.75757575757575</v>
      </c>
      <c r="F36" s="54">
        <f t="shared" si="2"/>
        <v>260.72351421188631</v>
      </c>
    </row>
    <row r="37" spans="4:6" ht="17.25">
      <c r="D37" s="33">
        <v>1635</v>
      </c>
      <c r="E37" s="53">
        <f t="shared" si="1"/>
        <v>495.4545454545455</v>
      </c>
      <c r="F37" s="54">
        <f t="shared" si="2"/>
        <v>422.48062015503876</v>
      </c>
    </row>
    <row r="38" spans="4:6" ht="17.25">
      <c r="D38" s="33">
        <v>557</v>
      </c>
      <c r="E38" s="53">
        <f t="shared" si="1"/>
        <v>168.78787878787881</v>
      </c>
      <c r="F38" s="54">
        <f t="shared" si="2"/>
        <v>143.92764857881136</v>
      </c>
    </row>
    <row r="39" spans="4:6" ht="17.25">
      <c r="F39" s="54"/>
    </row>
  </sheetData>
  <mergeCells count="1">
    <mergeCell ref="D28:E28"/>
  </mergeCells>
  <conditionalFormatting sqref="D9 L9">
    <cfRule type="duplicateValues" dxfId="23" priority="2"/>
    <cfRule type="duplicateValues" dxfId="22" priority="3"/>
    <cfRule type="duplicateValues" dxfId="21" priority="4"/>
    <cfRule type="duplicateValues" dxfId="20" priority="5"/>
    <cfRule type="duplicateValues" dxfId="19" priority="6"/>
  </conditionalFormatting>
  <conditionalFormatting sqref="D9 L9">
    <cfRule type="duplicateValues" dxfId="18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8:R44"/>
  <sheetViews>
    <sheetView showGridLines="0" topLeftCell="A10" zoomScale="85" zoomScaleNormal="85" workbookViewId="0">
      <selection activeCell="G21" sqref="G21"/>
    </sheetView>
  </sheetViews>
  <sheetFormatPr baseColWidth="10" defaultRowHeight="15"/>
  <cols>
    <col min="1" max="1" width="8.7109375" style="12" customWidth="1"/>
    <col min="2" max="2" width="3.42578125" customWidth="1"/>
    <col min="4" max="4" width="8.42578125" customWidth="1"/>
    <col min="5" max="5" width="12.42578125" customWidth="1"/>
    <col min="6" max="6" width="10.85546875" bestFit="1" customWidth="1"/>
    <col min="7" max="7" width="30.42578125" bestFit="1" customWidth="1"/>
    <col min="8" max="8" width="26.140625" customWidth="1"/>
    <col min="9" max="9" width="24.42578125" customWidth="1"/>
    <col min="10" max="10" width="28.28515625" customWidth="1"/>
    <col min="11" max="11" width="55" customWidth="1"/>
    <col min="12" max="12" width="14.28515625" customWidth="1"/>
    <col min="13" max="16" width="8.42578125" customWidth="1"/>
  </cols>
  <sheetData>
    <row r="8" spans="3:18">
      <c r="K8" s="5"/>
    </row>
    <row r="9" spans="3:18" ht="36.75" customHeight="1" thickBot="1">
      <c r="C9" s="13" t="s">
        <v>5</v>
      </c>
      <c r="D9" s="14"/>
      <c r="E9" s="14"/>
      <c r="F9" s="14"/>
      <c r="G9" s="14"/>
      <c r="H9" s="14"/>
      <c r="I9" s="14"/>
      <c r="J9" s="14"/>
      <c r="K9" s="13"/>
      <c r="L9" s="14"/>
      <c r="M9" s="14"/>
      <c r="N9" s="14"/>
      <c r="O9" s="14"/>
      <c r="P9" s="14"/>
      <c r="Q9" s="14"/>
      <c r="R9" s="14"/>
    </row>
    <row r="10" spans="3:18" ht="15.75" thickTop="1">
      <c r="C10" s="1"/>
    </row>
    <row r="11" spans="3:18" ht="20.25">
      <c r="G11" s="30" t="s">
        <v>45</v>
      </c>
    </row>
    <row r="12" spans="3:18" ht="7.5" customHeight="1"/>
    <row r="13" spans="3:18" ht="15.75">
      <c r="C13" s="29" t="s">
        <v>0</v>
      </c>
      <c r="D13" s="17" t="s">
        <v>74</v>
      </c>
    </row>
    <row r="14" spans="3:18" ht="15.75">
      <c r="D14" s="17" t="s">
        <v>75</v>
      </c>
    </row>
    <row r="15" spans="3:18" ht="15.75">
      <c r="D15" s="17" t="s">
        <v>76</v>
      </c>
    </row>
    <row r="16" spans="3:18" ht="15.75">
      <c r="C16" s="3"/>
      <c r="D16" s="17" t="s">
        <v>77</v>
      </c>
    </row>
    <row r="18" spans="3:16" ht="15.75">
      <c r="C18" s="29" t="s">
        <v>2</v>
      </c>
      <c r="H18" s="3"/>
      <c r="M18" s="3"/>
    </row>
    <row r="19" spans="3:16" ht="45">
      <c r="C19" s="29"/>
      <c r="G19" s="41" t="s">
        <v>58</v>
      </c>
      <c r="H19" s="41" t="s">
        <v>59</v>
      </c>
      <c r="I19" s="41" t="s">
        <v>60</v>
      </c>
      <c r="J19" s="41" t="s">
        <v>61</v>
      </c>
      <c r="K19" s="41" t="s">
        <v>62</v>
      </c>
    </row>
    <row r="20" spans="3:16" ht="31.5" customHeight="1">
      <c r="D20" s="40" t="s">
        <v>4</v>
      </c>
      <c r="E20" s="35" t="s">
        <v>47</v>
      </c>
      <c r="F20" s="35" t="s">
        <v>8</v>
      </c>
      <c r="G20" s="43">
        <v>250</v>
      </c>
      <c r="H20" s="43">
        <v>320</v>
      </c>
      <c r="I20" s="44">
        <v>150</v>
      </c>
      <c r="J20" s="44">
        <v>180</v>
      </c>
      <c r="K20" s="44">
        <v>174</v>
      </c>
    </row>
    <row r="21" spans="3:16" ht="17.25">
      <c r="D21" s="26" t="s">
        <v>48</v>
      </c>
      <c r="E21" s="26" t="s">
        <v>53</v>
      </c>
      <c r="F21" s="42">
        <v>10</v>
      </c>
      <c r="G21" s="55">
        <f>F21*$G$20</f>
        <v>2500</v>
      </c>
      <c r="H21" s="55">
        <f>F21*$H$20</f>
        <v>3200</v>
      </c>
      <c r="I21" s="55">
        <f>F21*$I$20</f>
        <v>1500</v>
      </c>
      <c r="J21" s="55">
        <f>F21*$J$20</f>
        <v>1800</v>
      </c>
      <c r="K21" s="55">
        <f>F21*$K$20</f>
        <v>1740</v>
      </c>
    </row>
    <row r="22" spans="3:16" ht="17.25">
      <c r="D22" s="26" t="s">
        <v>50</v>
      </c>
      <c r="E22" s="26" t="s">
        <v>54</v>
      </c>
      <c r="F22" s="42">
        <v>12</v>
      </c>
      <c r="G22" s="55">
        <f t="shared" ref="G22:G25" si="0">F22*$G$20</f>
        <v>3000</v>
      </c>
      <c r="H22" s="55">
        <f t="shared" ref="H22:H25" si="1">F22*$H$20</f>
        <v>3840</v>
      </c>
      <c r="I22" s="55">
        <f t="shared" ref="I22:I25" si="2">F22*$I$20</f>
        <v>1800</v>
      </c>
      <c r="J22" s="55">
        <f t="shared" ref="J22:J25" si="3">F22*$J$20</f>
        <v>2160</v>
      </c>
      <c r="K22" s="55">
        <f t="shared" ref="K22:K25" si="4">F22*$K$20</f>
        <v>2088</v>
      </c>
    </row>
    <row r="23" spans="3:16" ht="17.25">
      <c r="D23" s="26" t="s">
        <v>49</v>
      </c>
      <c r="E23" s="26" t="s">
        <v>55</v>
      </c>
      <c r="F23" s="42">
        <v>15</v>
      </c>
      <c r="G23" s="55">
        <f t="shared" si="0"/>
        <v>3750</v>
      </c>
      <c r="H23" s="55">
        <f t="shared" si="1"/>
        <v>4800</v>
      </c>
      <c r="I23" s="55">
        <f t="shared" si="2"/>
        <v>2250</v>
      </c>
      <c r="J23" s="55">
        <f t="shared" si="3"/>
        <v>2700</v>
      </c>
      <c r="K23" s="55">
        <f t="shared" si="4"/>
        <v>2610</v>
      </c>
    </row>
    <row r="24" spans="3:16" ht="17.25">
      <c r="D24" s="26" t="s">
        <v>51</v>
      </c>
      <c r="E24" s="26" t="s">
        <v>56</v>
      </c>
      <c r="F24" s="42">
        <v>18</v>
      </c>
      <c r="G24" s="55">
        <f t="shared" si="0"/>
        <v>4500</v>
      </c>
      <c r="H24" s="55">
        <f t="shared" si="1"/>
        <v>5760</v>
      </c>
      <c r="I24" s="55">
        <f t="shared" si="2"/>
        <v>2700</v>
      </c>
      <c r="J24" s="55">
        <f t="shared" si="3"/>
        <v>3240</v>
      </c>
      <c r="K24" s="55">
        <f t="shared" si="4"/>
        <v>3132</v>
      </c>
    </row>
    <row r="25" spans="3:16" ht="17.25">
      <c r="D25" s="26" t="s">
        <v>52</v>
      </c>
      <c r="E25" s="26" t="s">
        <v>57</v>
      </c>
      <c r="F25" s="42">
        <v>20</v>
      </c>
      <c r="G25" s="55">
        <f t="shared" si="0"/>
        <v>5000</v>
      </c>
      <c r="H25" s="55">
        <f t="shared" si="1"/>
        <v>6400</v>
      </c>
      <c r="I25" s="55">
        <f t="shared" si="2"/>
        <v>3000</v>
      </c>
      <c r="J25" s="55">
        <f t="shared" si="3"/>
        <v>3600</v>
      </c>
      <c r="K25" s="55">
        <f t="shared" si="4"/>
        <v>3480</v>
      </c>
    </row>
    <row r="29" spans="3:16" ht="15.75">
      <c r="C29" s="29" t="s">
        <v>3</v>
      </c>
    </row>
    <row r="31" spans="3:16" ht="15.75">
      <c r="D31" s="49" t="s">
        <v>46</v>
      </c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3:16">
      <c r="D32" s="37"/>
      <c r="E32" s="39">
        <v>1</v>
      </c>
      <c r="F32" s="39">
        <v>2</v>
      </c>
      <c r="G32" s="39">
        <v>3</v>
      </c>
      <c r="H32" s="39">
        <v>4</v>
      </c>
      <c r="I32" s="39">
        <v>5</v>
      </c>
      <c r="J32" s="39">
        <v>6</v>
      </c>
      <c r="K32" s="39">
        <v>7</v>
      </c>
      <c r="L32" s="39">
        <v>8</v>
      </c>
      <c r="M32" s="39">
        <v>9</v>
      </c>
      <c r="N32" s="39">
        <v>10</v>
      </c>
      <c r="O32" s="39">
        <v>11</v>
      </c>
      <c r="P32" s="39">
        <v>12</v>
      </c>
    </row>
    <row r="33" spans="4:16">
      <c r="D33" s="39">
        <v>1</v>
      </c>
      <c r="E33" s="38">
        <f>D33*$E$32</f>
        <v>1</v>
      </c>
      <c r="F33" s="38">
        <f>D33*$F$32</f>
        <v>2</v>
      </c>
      <c r="G33" s="38">
        <f>D33*$G$32</f>
        <v>3</v>
      </c>
      <c r="H33" s="38">
        <f>D33*$H$32</f>
        <v>4</v>
      </c>
      <c r="I33" s="38">
        <f>D33*$I$32</f>
        <v>5</v>
      </c>
      <c r="J33" s="38">
        <f>D33*$J$32</f>
        <v>6</v>
      </c>
      <c r="K33" s="38">
        <f>D33*$K$32</f>
        <v>7</v>
      </c>
      <c r="L33" s="38">
        <f>D33*$L$32</f>
        <v>8</v>
      </c>
      <c r="M33" s="38">
        <f>D33*$M$32</f>
        <v>9</v>
      </c>
      <c r="N33" s="38">
        <f>D33*$N$32</f>
        <v>10</v>
      </c>
      <c r="O33" s="38">
        <f>D33*$O$32</f>
        <v>11</v>
      </c>
      <c r="P33" s="38">
        <f>D33*$P$32</f>
        <v>12</v>
      </c>
    </row>
    <row r="34" spans="4:16">
      <c r="D34" s="39">
        <v>2</v>
      </c>
      <c r="E34" s="38">
        <f t="shared" ref="E34:E44" si="5">D34*$E$32</f>
        <v>2</v>
      </c>
      <c r="F34" s="38">
        <f t="shared" ref="F34:F44" si="6">D34*$F$32</f>
        <v>4</v>
      </c>
      <c r="G34" s="38">
        <f t="shared" ref="G34:G44" si="7">D34*$G$32</f>
        <v>6</v>
      </c>
      <c r="H34" s="38">
        <f t="shared" ref="H34:H44" si="8">D34*$H$32</f>
        <v>8</v>
      </c>
      <c r="I34" s="38">
        <f t="shared" ref="I34:I44" si="9">D34*$I$32</f>
        <v>10</v>
      </c>
      <c r="J34" s="38">
        <f t="shared" ref="J34:J44" si="10">D34*$J$32</f>
        <v>12</v>
      </c>
      <c r="K34" s="38">
        <f t="shared" ref="K34:K44" si="11">D34*$K$32</f>
        <v>14</v>
      </c>
      <c r="L34" s="38">
        <f t="shared" ref="L34:L44" si="12">D34*$L$32</f>
        <v>16</v>
      </c>
      <c r="M34" s="38">
        <f t="shared" ref="M34:M44" si="13">D34*$M$32</f>
        <v>18</v>
      </c>
      <c r="N34" s="38">
        <f t="shared" ref="N34:N44" si="14">D34*$N$32</f>
        <v>20</v>
      </c>
      <c r="O34" s="38">
        <f t="shared" ref="O34:O44" si="15">D34*$O$32</f>
        <v>22</v>
      </c>
      <c r="P34" s="38">
        <f t="shared" ref="P34:P44" si="16">D34*$P$32</f>
        <v>24</v>
      </c>
    </row>
    <row r="35" spans="4:16">
      <c r="D35" s="39">
        <v>3</v>
      </c>
      <c r="E35" s="38">
        <f t="shared" si="5"/>
        <v>3</v>
      </c>
      <c r="F35" s="38">
        <f t="shared" si="6"/>
        <v>6</v>
      </c>
      <c r="G35" s="38">
        <f t="shared" si="7"/>
        <v>9</v>
      </c>
      <c r="H35" s="38">
        <f t="shared" si="8"/>
        <v>12</v>
      </c>
      <c r="I35" s="38">
        <f t="shared" si="9"/>
        <v>15</v>
      </c>
      <c r="J35" s="38">
        <f t="shared" si="10"/>
        <v>18</v>
      </c>
      <c r="K35" s="38">
        <f t="shared" si="11"/>
        <v>21</v>
      </c>
      <c r="L35" s="38">
        <f t="shared" si="12"/>
        <v>24</v>
      </c>
      <c r="M35" s="38">
        <f t="shared" si="13"/>
        <v>27</v>
      </c>
      <c r="N35" s="38">
        <f t="shared" si="14"/>
        <v>30</v>
      </c>
      <c r="O35" s="38">
        <f t="shared" si="15"/>
        <v>33</v>
      </c>
      <c r="P35" s="38">
        <f t="shared" si="16"/>
        <v>36</v>
      </c>
    </row>
    <row r="36" spans="4:16">
      <c r="D36" s="39">
        <v>4</v>
      </c>
      <c r="E36" s="38">
        <f t="shared" si="5"/>
        <v>4</v>
      </c>
      <c r="F36" s="38">
        <f t="shared" si="6"/>
        <v>8</v>
      </c>
      <c r="G36" s="38">
        <f t="shared" si="7"/>
        <v>12</v>
      </c>
      <c r="H36" s="38">
        <f t="shared" si="8"/>
        <v>16</v>
      </c>
      <c r="I36" s="38">
        <f t="shared" si="9"/>
        <v>20</v>
      </c>
      <c r="J36" s="38">
        <f t="shared" si="10"/>
        <v>24</v>
      </c>
      <c r="K36" s="38">
        <f t="shared" si="11"/>
        <v>28</v>
      </c>
      <c r="L36" s="38">
        <f t="shared" si="12"/>
        <v>32</v>
      </c>
      <c r="M36" s="38">
        <f t="shared" si="13"/>
        <v>36</v>
      </c>
      <c r="N36" s="38">
        <f t="shared" si="14"/>
        <v>40</v>
      </c>
      <c r="O36" s="38">
        <f t="shared" si="15"/>
        <v>44</v>
      </c>
      <c r="P36" s="38">
        <f t="shared" si="16"/>
        <v>48</v>
      </c>
    </row>
    <row r="37" spans="4:16">
      <c r="D37" s="39">
        <v>5</v>
      </c>
      <c r="E37" s="38">
        <f t="shared" si="5"/>
        <v>5</v>
      </c>
      <c r="F37" s="38">
        <f t="shared" si="6"/>
        <v>10</v>
      </c>
      <c r="G37" s="38">
        <f t="shared" si="7"/>
        <v>15</v>
      </c>
      <c r="H37" s="38">
        <f t="shared" si="8"/>
        <v>20</v>
      </c>
      <c r="I37" s="38">
        <f t="shared" si="9"/>
        <v>25</v>
      </c>
      <c r="J37" s="38">
        <f t="shared" si="10"/>
        <v>30</v>
      </c>
      <c r="K37" s="38">
        <f t="shared" si="11"/>
        <v>35</v>
      </c>
      <c r="L37" s="38">
        <f t="shared" si="12"/>
        <v>40</v>
      </c>
      <c r="M37" s="38">
        <f t="shared" si="13"/>
        <v>45</v>
      </c>
      <c r="N37" s="38">
        <f t="shared" si="14"/>
        <v>50</v>
      </c>
      <c r="O37" s="38">
        <f t="shared" si="15"/>
        <v>55</v>
      </c>
      <c r="P37" s="38">
        <f t="shared" si="16"/>
        <v>60</v>
      </c>
    </row>
    <row r="38" spans="4:16">
      <c r="D38" s="39">
        <v>6</v>
      </c>
      <c r="E38" s="38">
        <f t="shared" si="5"/>
        <v>6</v>
      </c>
      <c r="F38" s="38">
        <f t="shared" si="6"/>
        <v>12</v>
      </c>
      <c r="G38" s="38">
        <f t="shared" si="7"/>
        <v>18</v>
      </c>
      <c r="H38" s="38">
        <f t="shared" si="8"/>
        <v>24</v>
      </c>
      <c r="I38" s="38">
        <f t="shared" si="9"/>
        <v>30</v>
      </c>
      <c r="J38" s="38">
        <f t="shared" si="10"/>
        <v>36</v>
      </c>
      <c r="K38" s="38">
        <f t="shared" si="11"/>
        <v>42</v>
      </c>
      <c r="L38" s="38">
        <f t="shared" si="12"/>
        <v>48</v>
      </c>
      <c r="M38" s="38">
        <f t="shared" si="13"/>
        <v>54</v>
      </c>
      <c r="N38" s="38">
        <f t="shared" si="14"/>
        <v>60</v>
      </c>
      <c r="O38" s="38">
        <f t="shared" si="15"/>
        <v>66</v>
      </c>
      <c r="P38" s="38">
        <f t="shared" si="16"/>
        <v>72</v>
      </c>
    </row>
    <row r="39" spans="4:16">
      <c r="D39" s="39">
        <v>7</v>
      </c>
      <c r="E39" s="38">
        <f t="shared" si="5"/>
        <v>7</v>
      </c>
      <c r="F39" s="38">
        <f t="shared" si="6"/>
        <v>14</v>
      </c>
      <c r="G39" s="38">
        <f t="shared" si="7"/>
        <v>21</v>
      </c>
      <c r="H39" s="38">
        <f t="shared" si="8"/>
        <v>28</v>
      </c>
      <c r="I39" s="38">
        <f t="shared" si="9"/>
        <v>35</v>
      </c>
      <c r="J39" s="38">
        <f t="shared" si="10"/>
        <v>42</v>
      </c>
      <c r="K39" s="38">
        <f t="shared" si="11"/>
        <v>49</v>
      </c>
      <c r="L39" s="38">
        <f t="shared" si="12"/>
        <v>56</v>
      </c>
      <c r="M39" s="38">
        <f t="shared" si="13"/>
        <v>63</v>
      </c>
      <c r="N39" s="38">
        <f t="shared" si="14"/>
        <v>70</v>
      </c>
      <c r="O39" s="38">
        <f t="shared" si="15"/>
        <v>77</v>
      </c>
      <c r="P39" s="38">
        <f t="shared" si="16"/>
        <v>84</v>
      </c>
    </row>
    <row r="40" spans="4:16">
      <c r="D40" s="39">
        <v>8</v>
      </c>
      <c r="E40" s="38">
        <f t="shared" si="5"/>
        <v>8</v>
      </c>
      <c r="F40" s="38">
        <f t="shared" si="6"/>
        <v>16</v>
      </c>
      <c r="G40" s="38">
        <f t="shared" si="7"/>
        <v>24</v>
      </c>
      <c r="H40" s="38">
        <f t="shared" si="8"/>
        <v>32</v>
      </c>
      <c r="I40" s="38">
        <f t="shared" si="9"/>
        <v>40</v>
      </c>
      <c r="J40" s="38">
        <f t="shared" si="10"/>
        <v>48</v>
      </c>
      <c r="K40" s="38">
        <f t="shared" si="11"/>
        <v>56</v>
      </c>
      <c r="L40" s="38">
        <f t="shared" si="12"/>
        <v>64</v>
      </c>
      <c r="M40" s="38">
        <f t="shared" si="13"/>
        <v>72</v>
      </c>
      <c r="N40" s="38">
        <f t="shared" si="14"/>
        <v>80</v>
      </c>
      <c r="O40" s="38">
        <f t="shared" si="15"/>
        <v>88</v>
      </c>
      <c r="P40" s="38">
        <f t="shared" si="16"/>
        <v>96</v>
      </c>
    </row>
    <row r="41" spans="4:16">
      <c r="D41" s="39">
        <v>9</v>
      </c>
      <c r="E41" s="38">
        <f t="shared" si="5"/>
        <v>9</v>
      </c>
      <c r="F41" s="38">
        <f t="shared" si="6"/>
        <v>18</v>
      </c>
      <c r="G41" s="38">
        <f t="shared" si="7"/>
        <v>27</v>
      </c>
      <c r="H41" s="38">
        <f t="shared" si="8"/>
        <v>36</v>
      </c>
      <c r="I41" s="38">
        <f t="shared" si="9"/>
        <v>45</v>
      </c>
      <c r="J41" s="38">
        <f t="shared" si="10"/>
        <v>54</v>
      </c>
      <c r="K41" s="38">
        <f t="shared" si="11"/>
        <v>63</v>
      </c>
      <c r="L41" s="38">
        <f t="shared" si="12"/>
        <v>72</v>
      </c>
      <c r="M41" s="38">
        <f t="shared" si="13"/>
        <v>81</v>
      </c>
      <c r="N41" s="38">
        <f t="shared" si="14"/>
        <v>90</v>
      </c>
      <c r="O41" s="38">
        <f t="shared" si="15"/>
        <v>99</v>
      </c>
      <c r="P41" s="38">
        <f t="shared" si="16"/>
        <v>108</v>
      </c>
    </row>
    <row r="42" spans="4:16">
      <c r="D42" s="39">
        <v>10</v>
      </c>
      <c r="E42" s="38">
        <f t="shared" si="5"/>
        <v>10</v>
      </c>
      <c r="F42" s="38">
        <f t="shared" si="6"/>
        <v>20</v>
      </c>
      <c r="G42" s="38">
        <f t="shared" si="7"/>
        <v>30</v>
      </c>
      <c r="H42" s="38">
        <f t="shared" si="8"/>
        <v>40</v>
      </c>
      <c r="I42" s="38">
        <f t="shared" si="9"/>
        <v>50</v>
      </c>
      <c r="J42" s="38">
        <f t="shared" si="10"/>
        <v>60</v>
      </c>
      <c r="K42" s="38">
        <f t="shared" si="11"/>
        <v>70</v>
      </c>
      <c r="L42" s="38">
        <f t="shared" si="12"/>
        <v>80</v>
      </c>
      <c r="M42" s="38">
        <f t="shared" si="13"/>
        <v>90</v>
      </c>
      <c r="N42" s="38">
        <f t="shared" si="14"/>
        <v>100</v>
      </c>
      <c r="O42" s="38">
        <f t="shared" si="15"/>
        <v>110</v>
      </c>
      <c r="P42" s="38">
        <f t="shared" si="16"/>
        <v>120</v>
      </c>
    </row>
    <row r="43" spans="4:16">
      <c r="D43" s="39">
        <v>11</v>
      </c>
      <c r="E43" s="38">
        <f t="shared" si="5"/>
        <v>11</v>
      </c>
      <c r="F43" s="38">
        <f t="shared" si="6"/>
        <v>22</v>
      </c>
      <c r="G43" s="38">
        <f t="shared" si="7"/>
        <v>33</v>
      </c>
      <c r="H43" s="38">
        <f t="shared" si="8"/>
        <v>44</v>
      </c>
      <c r="I43" s="38">
        <f t="shared" si="9"/>
        <v>55</v>
      </c>
      <c r="J43" s="38">
        <f t="shared" si="10"/>
        <v>66</v>
      </c>
      <c r="K43" s="38">
        <f t="shared" si="11"/>
        <v>77</v>
      </c>
      <c r="L43" s="38">
        <f t="shared" si="12"/>
        <v>88</v>
      </c>
      <c r="M43" s="38">
        <f t="shared" si="13"/>
        <v>99</v>
      </c>
      <c r="N43" s="38">
        <f t="shared" si="14"/>
        <v>110</v>
      </c>
      <c r="O43" s="38">
        <f t="shared" si="15"/>
        <v>121</v>
      </c>
      <c r="P43" s="38">
        <f t="shared" si="16"/>
        <v>132</v>
      </c>
    </row>
    <row r="44" spans="4:16">
      <c r="D44" s="39">
        <v>12</v>
      </c>
      <c r="E44" s="38">
        <f t="shared" si="5"/>
        <v>12</v>
      </c>
      <c r="F44" s="38">
        <f t="shared" si="6"/>
        <v>24</v>
      </c>
      <c r="G44" s="38">
        <f t="shared" si="7"/>
        <v>36</v>
      </c>
      <c r="H44" s="38">
        <f t="shared" si="8"/>
        <v>48</v>
      </c>
      <c r="I44" s="38">
        <f t="shared" si="9"/>
        <v>60</v>
      </c>
      <c r="J44" s="38">
        <f t="shared" si="10"/>
        <v>72</v>
      </c>
      <c r="K44" s="38">
        <f t="shared" si="11"/>
        <v>84</v>
      </c>
      <c r="L44" s="38">
        <f t="shared" si="12"/>
        <v>96</v>
      </c>
      <c r="M44" s="38">
        <f t="shared" si="13"/>
        <v>108</v>
      </c>
      <c r="N44" s="38">
        <f t="shared" si="14"/>
        <v>120</v>
      </c>
      <c r="O44" s="38">
        <f t="shared" si="15"/>
        <v>132</v>
      </c>
      <c r="P44" s="38">
        <f t="shared" si="16"/>
        <v>144</v>
      </c>
    </row>
  </sheetData>
  <mergeCells count="1">
    <mergeCell ref="D31:P31"/>
  </mergeCells>
  <conditionalFormatting sqref="D9 L9"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</conditionalFormatting>
  <conditionalFormatting sqref="D9 L9">
    <cfRule type="duplicateValues" dxfId="12" priority="1"/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8:R29"/>
  <sheetViews>
    <sheetView showGridLines="0" topLeftCell="A8" zoomScaleNormal="100" workbookViewId="0">
      <selection activeCell="C15" sqref="C15"/>
    </sheetView>
  </sheetViews>
  <sheetFormatPr baseColWidth="10" defaultRowHeight="15"/>
  <cols>
    <col min="1" max="1" width="8.7109375" style="12" customWidth="1"/>
    <col min="2" max="2" width="3.42578125" customWidth="1"/>
    <col min="4" max="4" width="18.28515625" customWidth="1"/>
    <col min="5" max="17" width="12.42578125" customWidth="1"/>
  </cols>
  <sheetData>
    <row r="8" spans="3:18">
      <c r="L8" s="5"/>
    </row>
    <row r="9" spans="3:18" ht="36.75" customHeight="1" thickBot="1">
      <c r="C9" s="13" t="s">
        <v>5</v>
      </c>
      <c r="D9" s="14"/>
      <c r="E9" s="14"/>
      <c r="F9" s="14"/>
      <c r="G9" s="14"/>
      <c r="H9" s="14"/>
      <c r="I9" s="14"/>
      <c r="J9" s="14"/>
      <c r="K9" s="13"/>
      <c r="L9" s="14"/>
      <c r="M9" s="14"/>
      <c r="N9" s="14"/>
      <c r="O9" s="14"/>
      <c r="P9" s="14"/>
      <c r="Q9" s="14"/>
      <c r="R9" s="14"/>
    </row>
    <row r="10" spans="3:18" ht="15.75" thickTop="1">
      <c r="C10" s="1"/>
    </row>
    <row r="11" spans="3:18" ht="20.25">
      <c r="G11" s="30" t="s">
        <v>63</v>
      </c>
    </row>
    <row r="12" spans="3:18" ht="7.5" customHeight="1"/>
    <row r="13" spans="3:18" ht="15.75">
      <c r="C13" s="29" t="s">
        <v>0</v>
      </c>
      <c r="D13" s="17" t="s">
        <v>78</v>
      </c>
    </row>
    <row r="15" spans="3:18" ht="17.25">
      <c r="C15" s="29" t="s">
        <v>1</v>
      </c>
      <c r="D15" s="4"/>
    </row>
    <row r="17" spans="3:16" ht="15.75">
      <c r="C17" s="29" t="s">
        <v>2</v>
      </c>
      <c r="H17" s="3"/>
      <c r="K17" s="3"/>
      <c r="P17" s="3"/>
    </row>
    <row r="18" spans="3:16" ht="15.75">
      <c r="C18" s="3"/>
      <c r="H18" s="3"/>
      <c r="K18" s="3"/>
      <c r="P18" s="3"/>
    </row>
    <row r="19" spans="3:16" ht="15.75">
      <c r="D19" s="45"/>
      <c r="E19" s="49" t="s">
        <v>69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3:16" ht="16.5" customHeight="1">
      <c r="D20" s="40" t="s">
        <v>64</v>
      </c>
      <c r="E20" s="40" t="s">
        <v>26</v>
      </c>
      <c r="F20" s="40" t="s">
        <v>27</v>
      </c>
      <c r="G20" s="40" t="s">
        <v>28</v>
      </c>
      <c r="H20" s="40" t="s">
        <v>29</v>
      </c>
      <c r="I20" s="40" t="s">
        <v>30</v>
      </c>
      <c r="J20" s="40" t="s">
        <v>31</v>
      </c>
      <c r="K20" s="40" t="s">
        <v>32</v>
      </c>
      <c r="L20" s="40" t="s">
        <v>33</v>
      </c>
      <c r="M20" s="40" t="s">
        <v>34</v>
      </c>
      <c r="N20" s="40" t="s">
        <v>35</v>
      </c>
      <c r="O20" s="40" t="s">
        <v>36</v>
      </c>
      <c r="P20" s="40" t="s">
        <v>37</v>
      </c>
    </row>
    <row r="21" spans="3:16" ht="17.25" customHeight="1">
      <c r="D21" s="46" t="s">
        <v>65</v>
      </c>
      <c r="E21" s="25">
        <v>476</v>
      </c>
      <c r="F21" s="25">
        <v>591</v>
      </c>
      <c r="G21" s="25">
        <v>462</v>
      </c>
      <c r="H21" s="25">
        <v>601</v>
      </c>
      <c r="I21" s="25">
        <v>499</v>
      </c>
      <c r="J21" s="25">
        <v>593</v>
      </c>
      <c r="K21" s="25">
        <v>679</v>
      </c>
      <c r="L21" s="25">
        <v>610</v>
      </c>
      <c r="M21" s="25">
        <v>549</v>
      </c>
      <c r="N21" s="25">
        <v>461</v>
      </c>
      <c r="O21" s="25">
        <v>483</v>
      </c>
      <c r="P21" s="25">
        <v>519</v>
      </c>
    </row>
    <row r="22" spans="3:16" ht="15.75" customHeight="1">
      <c r="D22" s="46" t="s">
        <v>66</v>
      </c>
      <c r="E22" s="25">
        <v>180</v>
      </c>
      <c r="F22" s="25">
        <v>200</v>
      </c>
      <c r="G22" s="25">
        <v>171</v>
      </c>
      <c r="H22" s="25">
        <v>180</v>
      </c>
      <c r="I22" s="25">
        <v>159</v>
      </c>
      <c r="J22" s="25">
        <v>192</v>
      </c>
      <c r="K22" s="25">
        <v>173</v>
      </c>
      <c r="L22" s="25">
        <v>191</v>
      </c>
      <c r="M22" s="25">
        <v>167</v>
      </c>
      <c r="N22" s="25">
        <v>200</v>
      </c>
      <c r="O22" s="25">
        <v>160</v>
      </c>
      <c r="P22" s="25">
        <v>191</v>
      </c>
    </row>
    <row r="23" spans="3:16" ht="17.25" customHeight="1">
      <c r="D23" s="46" t="s">
        <v>67</v>
      </c>
      <c r="E23" s="25">
        <v>1004</v>
      </c>
      <c r="F23" s="25">
        <v>843</v>
      </c>
      <c r="G23" s="25">
        <v>1024</v>
      </c>
      <c r="H23" s="25">
        <v>665</v>
      </c>
      <c r="I23" s="25">
        <v>1006</v>
      </c>
      <c r="J23" s="25">
        <v>654</v>
      </c>
      <c r="K23" s="25">
        <v>839</v>
      </c>
      <c r="L23" s="25">
        <v>1039</v>
      </c>
      <c r="M23" s="25">
        <v>894</v>
      </c>
      <c r="N23" s="25">
        <v>880</v>
      </c>
      <c r="O23" s="25">
        <v>1003</v>
      </c>
      <c r="P23" s="25">
        <v>744</v>
      </c>
    </row>
    <row r="24" spans="3:16" ht="17.25" customHeight="1">
      <c r="D24" s="46" t="s">
        <v>68</v>
      </c>
      <c r="E24" s="25">
        <v>48</v>
      </c>
      <c r="F24" s="25">
        <v>66</v>
      </c>
      <c r="G24" s="25">
        <v>129</v>
      </c>
      <c r="H24" s="25">
        <v>245</v>
      </c>
      <c r="I24" s="25">
        <v>129</v>
      </c>
      <c r="J24" s="25">
        <v>247</v>
      </c>
      <c r="K24" s="25">
        <v>28</v>
      </c>
      <c r="L24" s="25">
        <v>215</v>
      </c>
      <c r="M24" s="25">
        <v>115</v>
      </c>
      <c r="N24" s="25">
        <v>353</v>
      </c>
      <c r="O24" s="25">
        <v>272</v>
      </c>
      <c r="P24" s="25">
        <v>251</v>
      </c>
    </row>
    <row r="25" spans="3:16" ht="17.25">
      <c r="H25" s="7"/>
      <c r="I25" s="7"/>
      <c r="J25" s="2"/>
    </row>
    <row r="26" spans="3:16" ht="17.25">
      <c r="H26" s="7"/>
      <c r="I26" s="7"/>
    </row>
    <row r="27" spans="3:16" ht="17.25">
      <c r="H27" s="7"/>
      <c r="I27" s="7"/>
    </row>
    <row r="28" spans="3:16" ht="17.25" customHeight="1">
      <c r="H28" s="7"/>
      <c r="I28" s="7"/>
    </row>
    <row r="29" spans="3:16" ht="17.25">
      <c r="H29" s="7"/>
      <c r="I29" s="7"/>
    </row>
  </sheetData>
  <mergeCells count="1">
    <mergeCell ref="E19:P19"/>
  </mergeCells>
  <conditionalFormatting sqref="D9 L9">
    <cfRule type="duplicateValues" dxfId="11" priority="2"/>
    <cfRule type="duplicateValues" dxfId="10" priority="3"/>
    <cfRule type="duplicateValues" dxfId="9" priority="4"/>
    <cfRule type="duplicateValues" dxfId="8" priority="5"/>
    <cfRule type="duplicateValues" dxfId="7" priority="6"/>
  </conditionalFormatting>
  <conditionalFormatting sqref="D9 L9">
    <cfRule type="duplicateValues" dxfId="6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A9:R31"/>
  <sheetViews>
    <sheetView showGridLines="0" topLeftCell="A12" zoomScaleNormal="100" workbookViewId="0">
      <selection activeCell="E20" sqref="E20"/>
    </sheetView>
  </sheetViews>
  <sheetFormatPr baseColWidth="10" defaultRowHeight="15"/>
  <cols>
    <col min="1" max="1" width="8.7109375" style="12" customWidth="1"/>
    <col min="2" max="2" width="3.42578125" customWidth="1"/>
    <col min="4" max="4" width="21.85546875" customWidth="1"/>
    <col min="5" max="5" width="26" bestFit="1" customWidth="1"/>
    <col min="6" max="6" width="25.42578125" customWidth="1"/>
    <col min="7" max="7" width="28.28515625" customWidth="1"/>
    <col min="8" max="8" width="10.42578125" bestFit="1" customWidth="1"/>
    <col min="9" max="10" width="9.140625" customWidth="1"/>
    <col min="11" max="11" width="9" bestFit="1" customWidth="1"/>
    <col min="12" max="12" width="12.28515625" bestFit="1" customWidth="1"/>
    <col min="13" max="13" width="5" customWidth="1"/>
    <col min="19" max="19" width="15.85546875" customWidth="1"/>
  </cols>
  <sheetData>
    <row r="9" spans="3:18" ht="36.75" customHeight="1" thickBot="1">
      <c r="C9" s="13" t="s">
        <v>5</v>
      </c>
      <c r="D9" s="14"/>
      <c r="E9" s="14"/>
      <c r="F9" s="14"/>
      <c r="G9" s="14"/>
      <c r="H9" s="14"/>
      <c r="I9" s="14"/>
      <c r="J9" s="14"/>
      <c r="K9" s="13"/>
      <c r="L9" s="14"/>
      <c r="M9" s="14"/>
      <c r="N9" s="14"/>
      <c r="O9" s="14"/>
      <c r="P9" s="14"/>
      <c r="Q9" s="14"/>
      <c r="R9" s="14"/>
    </row>
    <row r="10" spans="3:18" ht="15.75" thickTop="1">
      <c r="C10" s="1"/>
    </row>
    <row r="11" spans="3:18" ht="20.25">
      <c r="G11" s="30" t="s">
        <v>63</v>
      </c>
    </row>
    <row r="12" spans="3:18" ht="7.5" customHeight="1"/>
    <row r="13" spans="3:18" ht="15.75">
      <c r="C13" s="29" t="s">
        <v>0</v>
      </c>
      <c r="D13" s="17" t="s">
        <v>78</v>
      </c>
    </row>
    <row r="14" spans="3:18" ht="15.75">
      <c r="C14" s="29"/>
    </row>
    <row r="15" spans="3:18" ht="17.25">
      <c r="C15" s="29" t="s">
        <v>1</v>
      </c>
      <c r="D15" s="4"/>
    </row>
    <row r="16" spans="3:18" ht="13.5" customHeight="1">
      <c r="C16" s="29"/>
    </row>
    <row r="17" spans="3:10" ht="15.75">
      <c r="C17" s="29" t="s">
        <v>2</v>
      </c>
      <c r="H17" s="3"/>
    </row>
    <row r="19" spans="3:10" ht="16.5" customHeight="1">
      <c r="D19" s="23" t="s">
        <v>64</v>
      </c>
      <c r="E19" s="23" t="s">
        <v>70</v>
      </c>
      <c r="F19" s="8"/>
      <c r="G19" s="8"/>
      <c r="H19" s="50" t="str">
        <f>LOWER(G19)</f>
        <v/>
      </c>
      <c r="I19" s="50"/>
      <c r="J19" s="50"/>
    </row>
    <row r="20" spans="3:10" ht="17.25" customHeight="1">
      <c r="D20" s="47" t="s">
        <v>65</v>
      </c>
      <c r="E20" s="8">
        <f>SUM('R.Externa.Data.Mes'!E21:P21)</f>
        <v>6523</v>
      </c>
      <c r="F20" s="8"/>
      <c r="G20" s="8"/>
      <c r="H20" s="50" t="str">
        <f t="shared" ref="H20:H28" si="0">LOWER(G20)</f>
        <v/>
      </c>
      <c r="I20" s="50"/>
      <c r="J20" s="50"/>
    </row>
    <row r="21" spans="3:10" ht="15.75" customHeight="1">
      <c r="D21" s="2"/>
      <c r="E21" s="8"/>
      <c r="F21" s="8"/>
      <c r="G21" s="8"/>
      <c r="H21" s="50" t="str">
        <f t="shared" si="0"/>
        <v/>
      </c>
      <c r="I21" s="50"/>
      <c r="J21" s="50"/>
    </row>
    <row r="22" spans="3:10" ht="15.75" customHeight="1">
      <c r="D22" s="2"/>
      <c r="E22" s="8"/>
      <c r="F22" s="8"/>
      <c r="G22" s="8"/>
      <c r="H22" s="9"/>
      <c r="I22" s="9"/>
      <c r="J22" s="9"/>
    </row>
    <row r="23" spans="3:10" ht="17.25" customHeight="1">
      <c r="D23" s="23" t="s">
        <v>64</v>
      </c>
      <c r="E23" s="23" t="s">
        <v>70</v>
      </c>
      <c r="F23" s="8"/>
      <c r="G23" s="8"/>
      <c r="H23" s="50" t="str">
        <f t="shared" si="0"/>
        <v/>
      </c>
      <c r="I23" s="50"/>
      <c r="J23" s="50"/>
    </row>
    <row r="24" spans="3:10" ht="17.25" customHeight="1">
      <c r="D24" s="47" t="s">
        <v>66</v>
      </c>
      <c r="E24" s="8">
        <f>SUM('R.Externa.Data.Mes'!E22:P22)</f>
        <v>2164</v>
      </c>
      <c r="F24" s="8"/>
      <c r="G24" s="8"/>
      <c r="H24" s="50" t="str">
        <f t="shared" si="0"/>
        <v/>
      </c>
      <c r="I24" s="50"/>
      <c r="J24" s="50"/>
    </row>
    <row r="25" spans="3:10" ht="16.5">
      <c r="D25" s="2"/>
      <c r="E25" s="8"/>
      <c r="F25" s="8"/>
      <c r="G25" s="8"/>
      <c r="H25" s="50" t="str">
        <f t="shared" si="0"/>
        <v/>
      </c>
      <c r="I25" s="50"/>
      <c r="J25" s="50"/>
    </row>
    <row r="26" spans="3:10" ht="16.5">
      <c r="D26" s="23" t="s">
        <v>64</v>
      </c>
      <c r="E26" s="23" t="s">
        <v>70</v>
      </c>
      <c r="F26" s="8"/>
      <c r="G26" s="8"/>
      <c r="H26" s="50" t="str">
        <f t="shared" si="0"/>
        <v/>
      </c>
      <c r="I26" s="50"/>
      <c r="J26" s="50"/>
    </row>
    <row r="27" spans="3:10" ht="16.5">
      <c r="D27" s="47" t="s">
        <v>67</v>
      </c>
      <c r="E27" s="8">
        <f>SUM('R.Externa.Data.Mes'!E23:P23)</f>
        <v>10595</v>
      </c>
      <c r="F27" s="8"/>
      <c r="G27" s="8"/>
      <c r="H27" s="50" t="str">
        <f t="shared" si="0"/>
        <v/>
      </c>
      <c r="I27" s="50"/>
      <c r="J27" s="50"/>
    </row>
    <row r="28" spans="3:10" ht="17.25" customHeight="1">
      <c r="D28" s="2"/>
      <c r="E28" s="8"/>
      <c r="F28" s="8"/>
      <c r="G28" s="8"/>
      <c r="H28" s="50" t="str">
        <f t="shared" si="0"/>
        <v/>
      </c>
      <c r="I28" s="50"/>
      <c r="J28" s="50"/>
    </row>
    <row r="30" spans="3:10" ht="15.75">
      <c r="D30" s="23" t="s">
        <v>64</v>
      </c>
      <c r="E30" s="23" t="s">
        <v>70</v>
      </c>
    </row>
    <row r="31" spans="3:10" ht="16.5">
      <c r="D31" s="47" t="s">
        <v>68</v>
      </c>
      <c r="E31" s="8">
        <f>SUM('R.Externa.Data.Mes'!E24:P24)</f>
        <v>2098</v>
      </c>
    </row>
  </sheetData>
  <mergeCells count="9">
    <mergeCell ref="H19:J19"/>
    <mergeCell ref="H20:J20"/>
    <mergeCell ref="H28:J28"/>
    <mergeCell ref="H25:J25"/>
    <mergeCell ref="H26:J26"/>
    <mergeCell ref="H27:J27"/>
    <mergeCell ref="H21:J21"/>
    <mergeCell ref="H23:J23"/>
    <mergeCell ref="H24:J24"/>
  </mergeCells>
  <conditionalFormatting sqref="D9 L9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D9 L9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R.Relativas</vt:lpstr>
      <vt:lpstr>R.Absolutas</vt:lpstr>
      <vt:lpstr>R.Mixta.Columna.Fija Fila.Fija</vt:lpstr>
      <vt:lpstr>R.Externa.Data.Mes</vt:lpstr>
      <vt:lpstr>R.Externa.Consolidado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Nick Muñoz Maldonado</dc:creator>
  <cp:lastModifiedBy>ADMIN</cp:lastModifiedBy>
  <dcterms:created xsi:type="dcterms:W3CDTF">2018-08-27T13:53:39Z</dcterms:created>
  <dcterms:modified xsi:type="dcterms:W3CDTF">2025-12-15T01:29:28Z</dcterms:modified>
</cp:coreProperties>
</file>